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运行信息" sheetId="2" state="visible" r:id="rId2"/>
    <sheet xmlns:r="http://schemas.openxmlformats.org/officeDocument/2006/relationships" name="总体指标" sheetId="3" state="visible" r:id="rId3"/>
    <sheet xmlns:r="http://schemas.openxmlformats.org/officeDocument/2006/relationships" name="系统对比" sheetId="4" state="visible" r:id="rId4"/>
    <sheet xmlns:r="http://schemas.openxmlformats.org/officeDocument/2006/relationships" name="按跳数" sheetId="5" state="visible" r:id="rId5"/>
    <sheet xmlns:r="http://schemas.openxmlformats.org/officeDocument/2006/relationships" name="文档召回" sheetId="6" state="visible" r:id="rId6"/>
    <sheet xmlns:r="http://schemas.openxmlformats.org/officeDocument/2006/relationships" name="延迟明细" sheetId="7" state="visible" r:id="rId7"/>
    <sheet xmlns:r="http://schemas.openxmlformats.org/officeDocument/2006/relationships" name="逐题明细" sheetId="8" state="visible" r:id="rId8"/>
    <sheet xmlns:r="http://schemas.openxmlformats.org/officeDocument/2006/relationships" name="差异题" sheetId="9" state="visible" r:id="rId9"/>
    <sheet xmlns:r="http://schemas.openxmlformats.org/officeDocument/2006/relationships" name="失败列表" sheetId="10" state="visible" r:id="rId10"/>
  </sheets>
  <definedNames>
    <definedName name="_xlnm._FilterDatabase" localSheetId="4" hidden="1">'按跳数'!$A$3:$U$6</definedName>
    <definedName name="_xlnm._FilterDatabase" localSheetId="6" hidden="1">'延迟明细'!$A$3:$E$20</definedName>
    <definedName name="_xlnm._FilterDatabase" localSheetId="7" hidden="1">'逐题明细'!$A$3:$AO$15</definedName>
    <definedName name="_xlnm._FilterDatabase" localSheetId="8" hidden="1">'差异题'!$A$3:$AO$15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%&quot;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i val="1"/>
      <color rgb="00666666"/>
      <sz val="10"/>
    </font>
    <font>
      <name val="微软雅黑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B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F4F6F7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164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0" fontId="4" fillId="4" borderId="0" pivotButton="0" quotePrefix="0" xfId="0"/>
    <xf numFmtId="0" fontId="4" fillId="5" borderId="0" pivotButton="0" quotePrefix="0" xfId="0"/>
    <xf numFmtId="2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对比胜负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'系统对比'!B19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'系统对比'!$A$20:$A$22</f>
            </numRef>
          </cat>
          <val>
            <numRef>
              <f>'系统对比'!$B$20:$B$22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题数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各跳正确率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'按跳数'!B10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'按跳数'!$A$11:$A$13</f>
            </numRef>
          </cat>
          <val>
            <numRef>
              <f>'按跳数'!$B$11:$B$13</f>
            </numRef>
          </val>
        </ser>
        <ser>
          <idx val="1"/>
          <order val="1"/>
          <tx>
            <strRef>
              <f>'按跳数'!C10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'按跳数'!$A$11:$A$13</f>
            </numRef>
          </cat>
          <val>
            <numRef>
              <f>'按跳数'!$C$11:$C$13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跳数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正确率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 ht="24" customHeight="1">
      <c r="A1" s="1" t="inlineStr">
        <is>
          <t>benchmark_agentic_5 评测报告</t>
        </is>
      </c>
    </row>
    <row r="2">
      <c r="A2" s="2" t="inlineStr">
        <is>
          <t>点击工作表名跳转。</t>
        </is>
      </c>
    </row>
    <row r="3"/>
    <row r="4" ht="22" customHeight="1">
      <c r="A4" s="3" t="inlineStr">
        <is>
          <t>工作表</t>
        </is>
      </c>
      <c r="B4" s="3" t="inlineStr">
        <is>
          <t>说明</t>
        </is>
      </c>
    </row>
    <row r="5">
      <c r="A5" s="4" t="inlineStr">
        <is>
          <t>运行信息</t>
        </is>
      </c>
      <c r="B5" s="5" t="inlineStr">
        <is>
          <t>评测配置、模型、题量、耗时</t>
        </is>
      </c>
    </row>
    <row r="6">
      <c r="A6" s="6" t="inlineStr">
        <is>
          <t>总体指标</t>
        </is>
      </c>
      <c r="B6" s="7" t="inlineStr">
        <is>
          <t>两路总体正确率 / 耗时 / Token / 文档召回</t>
        </is>
      </c>
    </row>
    <row r="7">
      <c r="A7" s="4" t="inlineStr">
        <is>
          <t>系统对比</t>
        </is>
      </c>
      <c r="B7" s="5" t="inlineStr">
        <is>
          <t>配对胜负、双方对错、评判交叉表</t>
        </is>
      </c>
    </row>
    <row r="8">
      <c r="A8" s="6" t="inlineStr">
        <is>
          <t>按跳数</t>
        </is>
      </c>
      <c r="B8" s="7" t="inlineStr">
        <is>
          <t>按跳正确率、三路检索延迟、改写/重排/预加载</t>
        </is>
      </c>
    </row>
    <row r="9">
      <c r="A9" s="4" t="inlineStr">
        <is>
          <t>文档召回</t>
        </is>
      </c>
      <c r="B9" s="5" t="inlineStr">
        <is>
          <t>文档召回 × 答案正确率列联表</t>
        </is>
      </c>
    </row>
    <row r="10">
      <c r="A10" s="6" t="inlineStr">
        <is>
          <t>延迟明细</t>
        </is>
      </c>
      <c r="B10" s="7" t="inlineStr">
        <is>
          <t>检索各阶段耗时和 token 用量</t>
        </is>
      </c>
    </row>
    <row r="11">
      <c r="A11" s="4" t="inlineStr">
        <is>
          <t>逐题明细</t>
        </is>
      </c>
      <c r="B11" s="5" t="inlineStr">
        <is>
          <t>每题两路评判、答案、召回、分阶段延迟</t>
        </is>
      </c>
    </row>
    <row r="12">
      <c r="A12" s="6" t="inlineStr">
        <is>
          <t>差异题</t>
        </is>
      </c>
      <c r="B12" s="7" t="inlineStr">
        <is>
          <t>评判不一致或有胜负的题</t>
        </is>
      </c>
    </row>
    <row r="13">
      <c r="A13" s="4" t="inlineStr">
        <is>
          <t>失败列表</t>
        </is>
      </c>
      <c r="B13" s="5" t="inlineStr">
        <is>
          <t>问答或评判失败清单</t>
        </is>
      </c>
    </row>
  </sheetData>
  <mergeCells count="1">
    <mergeCell ref="A1:B1"/>
  </mergeCells>
  <hyperlinks>
    <hyperlink ref="A5" location="'运行信息'!A1" display="运行信息"/>
    <hyperlink ref="A6" location="'总体指标'!A1" display="总体指标"/>
    <hyperlink ref="A7" location="'系统对比'!A1" display="系统对比"/>
    <hyperlink ref="A8" location="'按跳数'!A1" display="按跳数"/>
    <hyperlink ref="A9" location="'文档召回'!A1" display="文档召回"/>
    <hyperlink ref="A10" location="'延迟明细'!A1" display="延迟明细"/>
    <hyperlink ref="A11" location="'逐题明细'!A1" display="逐题明细"/>
    <hyperlink ref="A12" location="'差异题'!A1" display="差异题"/>
    <hyperlink ref="A13" location="'失败列表'!A1" display="失败列表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.2" customWidth="1" min="1" max="1"/>
    <col width="80" customWidth="1" min="2" max="2"/>
  </cols>
  <sheetData>
    <row r="1" ht="24" customHeight="1">
      <c r="A1" s="1" t="inlineStr">
        <is>
          <t>运行信息</t>
        </is>
      </c>
    </row>
    <row r="2"/>
    <row r="3" ht="22" customHeight="1">
      <c r="A3" s="3" t="inlineStr">
        <is>
          <t>字段</t>
        </is>
      </c>
      <c r="B3" s="3" t="inlineStr">
        <is>
          <t>值</t>
        </is>
      </c>
    </row>
    <row r="4">
      <c r="A4" s="5" t="inlineStr">
        <is>
          <t>created_at</t>
        </is>
      </c>
      <c r="B4" s="5" t="inlineStr">
        <is>
          <t>2026-09-30T15:27:48</t>
        </is>
      </c>
    </row>
    <row r="5">
      <c r="A5" s="7" t="inlineStr">
        <is>
          <t>updated_at</t>
        </is>
      </c>
      <c r="B5" s="7" t="inlineStr">
        <is>
          <t>2026-09-30T15:27:48</t>
        </is>
      </c>
    </row>
    <row r="6">
      <c r="A6" s="5" t="inlineStr">
        <is>
          <t>eval_done</t>
        </is>
      </c>
      <c r="B6" s="5" t="b">
        <v>1</v>
      </c>
    </row>
    <row r="7">
      <c r="A7" s="7" t="inlineStr">
        <is>
          <t>done</t>
        </is>
      </c>
      <c r="B7" s="7" t="b">
        <v>1</v>
      </c>
    </row>
    <row r="8">
      <c r="A8" s="5" t="inlineStr">
        <is>
          <t>query_mode</t>
        </is>
      </c>
      <c r="B8" s="5" t="inlineStr">
        <is>
          <t>agentic</t>
        </is>
      </c>
    </row>
    <row r="9">
      <c r="A9" s="7" t="inlineStr">
        <is>
          <t>judge_model</t>
        </is>
      </c>
      <c r="B9" s="7" t="inlineStr">
        <is>
          <t>llm-medium</t>
        </is>
      </c>
    </row>
    <row r="10">
      <c r="A10" s="5" t="inlineStr">
        <is>
          <t>judge_mode</t>
        </is>
      </c>
      <c r="B10" s="5" t="inlineStr">
        <is>
          <t>pairwise</t>
        </is>
      </c>
    </row>
    <row r="11">
      <c r="A11" s="7" t="inlineStr">
        <is>
          <t>enable_weknora</t>
        </is>
      </c>
      <c r="B11" s="7" t="b">
        <v>1</v>
      </c>
    </row>
    <row r="12">
      <c r="A12" s="5" t="inlineStr">
        <is>
          <t>enable_doc_recall</t>
        </is>
      </c>
      <c r="B12" s="5" t="b">
        <v>1</v>
      </c>
    </row>
    <row r="13">
      <c r="A13" s="7" t="inlineStr">
        <is>
          <t>n_results</t>
        </is>
      </c>
      <c r="B13" s="8" t="n">
        <v>12</v>
      </c>
    </row>
    <row r="14">
      <c r="A14" s="5" t="inlineStr">
        <is>
          <t>n_questions</t>
        </is>
      </c>
      <c r="B14" s="9" t="n">
        <v>12</v>
      </c>
    </row>
    <row r="15">
      <c r="A15" s="7" t="inlineStr">
        <is>
          <t>n_total_planned</t>
        </is>
      </c>
      <c r="B15" s="8" t="n">
        <v>12</v>
      </c>
    </row>
    <row r="16">
      <c r="A16" s="5" t="inlineStr">
        <is>
          <t>n_skipped_gen_fail</t>
        </is>
      </c>
      <c r="B16" s="9" t="n">
        <v>0</v>
      </c>
    </row>
    <row r="17">
      <c r="A17" s="7" t="inlineStr">
        <is>
          <t>eval_elapsed_s</t>
        </is>
      </c>
      <c r="B17" s="8" t="n">
        <v>235.935</v>
      </c>
    </row>
    <row r="18">
      <c r="A18" s="5" t="inlineStr">
        <is>
          <t>elapsed_s</t>
        </is>
      </c>
      <c r="B18" s="9" t="n">
        <v>235.935</v>
      </c>
    </row>
    <row r="19">
      <c r="A19" s="7" t="inlineStr">
        <is>
          <t>db_path</t>
        </is>
      </c>
      <c r="B19" s="7" t="inlineStr">
        <is>
          <t>/root/projects/Chemical-Graph-RAG/example/b/DB/main.db</t>
        </is>
      </c>
    </row>
    <row r="20">
      <c r="A20" s="5" t="inlineStr">
        <is>
          <t>hop_counts</t>
        </is>
      </c>
      <c r="B20" s="5" t="inlineStr">
        <is>
          <t>{"1": 10, "2": 1, "3": 1}</t>
        </is>
      </c>
    </row>
    <row r="21">
      <c r="A21" s="7" t="inlineStr">
        <is>
          <t>seed</t>
        </is>
      </c>
      <c r="B21" s="8" t="n">
        <v>42</v>
      </c>
    </row>
    <row r="22">
      <c r="A22" s="5" t="inlineStr">
        <is>
          <t>doc_id_min</t>
        </is>
      </c>
      <c r="B22" s="5" t="n"/>
    </row>
    <row r="23">
      <c r="A23" s="7" t="inlineStr">
        <is>
          <t>doc_id_max</t>
        </is>
      </c>
      <c r="B23" s="7" t="n"/>
    </row>
    <row r="24">
      <c r="A24" s="5" t="inlineStr">
        <is>
          <t>original_pdf_only</t>
        </is>
      </c>
      <c r="B24" s="5" t="b">
        <v>1</v>
      </c>
    </row>
    <row r="25">
      <c r="A25" s="7" t="inlineStr">
        <is>
          <t>weknora_base_url</t>
        </is>
      </c>
      <c r="B25" s="7" t="inlineStr">
        <is>
          <t>http://192.168.110.219:8081</t>
        </is>
      </c>
    </row>
    <row r="26">
      <c r="A26" s="5" t="inlineStr">
        <is>
          <t>weknora_knowledge_base_id</t>
        </is>
      </c>
      <c r="B26" s="5" t="inlineStr">
        <is>
          <t>677e7f95-5530-4872-8412-55abbe459b7f</t>
        </is>
      </c>
    </row>
    <row r="27">
      <c r="A27" s="7" t="inlineStr">
        <is>
          <t>weknora_knowledge_base_name</t>
        </is>
      </c>
      <c r="B27" s="7" t="inlineStr">
        <is>
          <t>test</t>
        </is>
      </c>
    </row>
    <row r="28">
      <c r="A28" s="5" t="inlineStr">
        <is>
          <t>weknora_chat_mode</t>
        </is>
      </c>
      <c r="B28" s="5" t="inlineStr">
        <is>
          <t>agent</t>
        </is>
      </c>
    </row>
    <row r="29">
      <c r="A29" s="7" t="inlineStr">
        <is>
          <t>weknora_agent_id</t>
        </is>
      </c>
      <c r="B29" s="7" t="inlineStr">
        <is>
          <t>builtin-quick-answer</t>
        </is>
      </c>
    </row>
    <row r="30">
      <c r="A30" s="5" t="inlineStr">
        <is>
          <t>weknora_indexed_docs</t>
        </is>
      </c>
      <c r="B30" s="5" t="n"/>
    </row>
    <row r="31">
      <c r="A31" s="7" t="inlineStr">
        <is>
          <t>local_original_pdfs</t>
        </is>
      </c>
      <c r="B31" s="7" t="n"/>
    </row>
    <row r="32">
      <c r="A32" s="5" t="inlineStr">
        <is>
          <t>source_path</t>
        </is>
      </c>
      <c r="B32" s="5" t="n"/>
    </row>
    <row r="33">
      <c r="A33" s="7" t="inlineStr">
        <is>
          <t>config_file</t>
        </is>
      </c>
      <c r="B33" s="7" t="inlineStr">
        <is>
          <t>/root/projects/Chemical-Graph-RAG/benchmark/benchmark_agentic_5/config.yaml</t>
        </is>
      </c>
    </row>
    <row r="34">
      <c r="A34" s="5" t="inlineStr">
        <is>
          <t>dhmf_config_path</t>
        </is>
      </c>
      <c r="B34" s="5" t="inlineStr">
        <is>
          <t>/root/projects/Chemical-Graph-RAG/example/b/config_open.yaml</t>
        </is>
      </c>
    </row>
    <row r="35">
      <c r="A35" s="7" t="inlineStr">
        <is>
          <t>n_resumed</t>
        </is>
      </c>
      <c r="B35" s="8" t="n">
        <v>5</v>
      </c>
    </row>
    <row r="36">
      <c r="A36" s="5" t="inlineStr">
        <is>
          <t>num_thread</t>
        </is>
      </c>
      <c r="B36" s="9" t="n">
        <v>1</v>
      </c>
    </row>
    <row r="37">
      <c r="A37" s="7" t="inlineStr">
        <is>
          <t>— 配置快照 —</t>
        </is>
      </c>
      <c r="B37" s="7" t="inlineStr"/>
    </row>
    <row r="38">
      <c r="A38" s="5" t="inlineStr">
        <is>
          <t>config.config_file</t>
        </is>
      </c>
      <c r="B38" s="5" t="inlineStr">
        <is>
          <t>/root/projects/Chemical-Graph-RAG/benchmark/benchmark_agentic_5/config.yaml</t>
        </is>
      </c>
    </row>
    <row r="39">
      <c r="A39" s="7" t="inlineStr">
        <is>
          <t>config.dhmf_config_path</t>
        </is>
      </c>
      <c r="B39" s="7" t="inlineStr">
        <is>
          <t>/root/projects/Chemical-Graph-RAG/example/b/config_open.yaml</t>
        </is>
      </c>
    </row>
    <row r="40">
      <c r="A40" s="5" t="inlineStr">
        <is>
          <t>config.query_mode</t>
        </is>
      </c>
      <c r="B40" s="5" t="inlineStr">
        <is>
          <t>agentic</t>
        </is>
      </c>
    </row>
    <row r="41">
      <c r="A41" s="7" t="inlineStr">
        <is>
          <t>config.db_path</t>
        </is>
      </c>
      <c r="B41" s="7" t="inlineStr">
        <is>
          <t>/root/projects/Chemical-Graph-RAG/example/b/DB/main.db</t>
        </is>
      </c>
    </row>
    <row r="42">
      <c r="A42" s="5" t="inlineStr">
        <is>
          <t>config.hop_counts</t>
        </is>
      </c>
      <c r="B42" s="5" t="inlineStr">
        <is>
          <t>{"1": 10, "2": 1, "3": 1}</t>
        </is>
      </c>
    </row>
    <row r="43">
      <c r="A43" s="7" t="inlineStr">
        <is>
          <t>config.seed</t>
        </is>
      </c>
      <c r="B43" s="8" t="n">
        <v>42</v>
      </c>
    </row>
    <row r="44">
      <c r="A44" s="5" t="inlineStr">
        <is>
          <t>config.doc_id_min</t>
        </is>
      </c>
      <c r="B44" s="5" t="n"/>
    </row>
    <row r="45">
      <c r="A45" s="7" t="inlineStr">
        <is>
          <t>config.doc_id_max</t>
        </is>
      </c>
      <c r="B45" s="7" t="n"/>
    </row>
    <row r="46">
      <c r="A46" s="5" t="inlineStr">
        <is>
          <t>config.question_gen_prompt</t>
        </is>
      </c>
      <c r="B46" s="5" t="inlineStr">
        <is>
          <t>QUESTION_GEN_USER</t>
        </is>
      </c>
    </row>
    <row r="47">
      <c r="A47" s="7" t="inlineStr">
        <is>
          <t>config.original_pdf_only</t>
        </is>
      </c>
      <c r="B47" s="7" t="b">
        <v>1</v>
      </c>
    </row>
    <row r="48">
      <c r="A48" s="5" t="inlineStr">
        <is>
          <t>config.enable_doc_recall</t>
        </is>
      </c>
      <c r="B48" s="5" t="b">
        <v>1</v>
      </c>
    </row>
    <row r="49">
      <c r="A49" s="7" t="inlineStr">
        <is>
          <t>config.enable_weknora</t>
        </is>
      </c>
      <c r="B49" s="7" t="b">
        <v>1</v>
      </c>
    </row>
    <row r="50">
      <c r="A50" s="5" t="inlineStr">
        <is>
          <t>config.eval_num_thread</t>
        </is>
      </c>
      <c r="B50" s="9" t="n">
        <v>1</v>
      </c>
    </row>
    <row r="51">
      <c r="A51" s="7" t="inlineStr">
        <is>
          <t>config.gen_model</t>
        </is>
      </c>
      <c r="B51" s="7" t="inlineStr">
        <is>
          <t>llm-medium</t>
        </is>
      </c>
    </row>
    <row r="52">
      <c r="A52" s="5" t="inlineStr">
        <is>
          <t>config.judge_model</t>
        </is>
      </c>
      <c r="B52" s="5" t="inlineStr">
        <is>
          <t>llm-medium</t>
        </is>
      </c>
    </row>
    <row r="53">
      <c r="A53" s="7" t="inlineStr">
        <is>
          <t>config.weknora_base_url</t>
        </is>
      </c>
      <c r="B53" s="7" t="inlineStr">
        <is>
          <t>http://192.168.110.219:8081</t>
        </is>
      </c>
    </row>
    <row r="54">
      <c r="A54" s="5" t="inlineStr">
        <is>
          <t>config.weknora_knowledge_base_id</t>
        </is>
      </c>
      <c r="B54" s="5" t="inlineStr">
        <is>
          <t>677e7f95-5530-4872-8412-55abbe459b7f</t>
        </is>
      </c>
    </row>
    <row r="55">
      <c r="A55" s="7" t="inlineStr">
        <is>
          <t>config.weknora_knowledge_base_name</t>
        </is>
      </c>
      <c r="B55" s="7" t="inlineStr">
        <is>
          <t>test</t>
        </is>
      </c>
    </row>
    <row r="56">
      <c r="A56" s="5" t="inlineStr">
        <is>
          <t>config.weknora_chat_mode</t>
        </is>
      </c>
      <c r="B56" s="5" t="inlineStr">
        <is>
          <t>agent</t>
        </is>
      </c>
    </row>
    <row r="57">
      <c r="A57" s="7" t="inlineStr">
        <is>
          <t>config.weknora_agent_id</t>
        </is>
      </c>
      <c r="B57" s="7" t="inlineStr">
        <is>
          <t>builtin-quick-answer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90000000000001" customWidth="1" min="1" max="1"/>
    <col width="24.60000000000001" customWidth="1" min="2" max="2"/>
    <col width="20.40000000000001" customWidth="1" min="3" max="3"/>
    <col width="26.80000000000001" customWidth="1" min="4" max="4"/>
  </cols>
  <sheetData>
    <row r="1" ht="24" customHeight="1">
      <c r="A1" s="1" t="inlineStr">
        <is>
          <t>总体指标：Agentic vs WeKnora</t>
        </is>
      </c>
    </row>
    <row r="2"/>
    <row r="3" ht="22" customHeight="1">
      <c r="A3" s="3" t="inlineStr">
        <is>
          <t>指标</t>
        </is>
      </c>
      <c r="B3" s="3" t="inlineStr">
        <is>
          <t>Agentic</t>
        </is>
      </c>
      <c r="C3" s="3" t="inlineStr">
        <is>
          <t>WeKnora</t>
        </is>
      </c>
      <c r="D3" s="3" t="inlineStr">
        <is>
          <t>差值（Agentic − WeKnora）</t>
        </is>
      </c>
    </row>
    <row r="4">
      <c r="A4" s="5" t="inlineStr">
        <is>
          <t>题目数 n</t>
        </is>
      </c>
      <c r="B4" s="10" t="n">
        <v>12</v>
      </c>
      <c r="C4" s="11" t="n">
        <v>12</v>
      </c>
      <c r="D4" s="12" t="n">
        <v>0</v>
      </c>
    </row>
    <row r="5">
      <c r="A5" s="7" t="inlineStr">
        <is>
          <t>流水线成功</t>
        </is>
      </c>
      <c r="B5" s="10" t="n">
        <v>12</v>
      </c>
      <c r="C5" s="11" t="n">
        <v>12</v>
      </c>
      <c r="D5" s="13" t="n">
        <v>0</v>
      </c>
    </row>
    <row r="6">
      <c r="A6" s="5" t="inlineStr">
        <is>
          <t>问答失败</t>
        </is>
      </c>
      <c r="B6" s="10" t="n">
        <v>0</v>
      </c>
      <c r="C6" s="11" t="n">
        <v>0</v>
      </c>
      <c r="D6" s="13" t="n">
        <v>0</v>
      </c>
    </row>
    <row r="7">
      <c r="A7" s="7" t="inlineStr">
        <is>
          <t>评判失败</t>
        </is>
      </c>
      <c r="B7" s="10" t="n">
        <v>0</v>
      </c>
      <c r="C7" s="11" t="n">
        <v>0</v>
      </c>
      <c r="D7" s="13" t="n">
        <v>0</v>
      </c>
    </row>
    <row r="8">
      <c r="A8" s="5" t="inlineStr">
        <is>
          <t>已评判</t>
        </is>
      </c>
      <c r="B8" s="10" t="n">
        <v>12</v>
      </c>
      <c r="C8" s="11" t="n">
        <v>12</v>
      </c>
      <c r="D8" s="13" t="n">
        <v>0</v>
      </c>
    </row>
    <row r="9">
      <c r="A9" s="7" t="inlineStr">
        <is>
          <t>正确</t>
        </is>
      </c>
      <c r="B9" s="10" t="n">
        <v>12</v>
      </c>
      <c r="C9" s="11" t="n">
        <v>4</v>
      </c>
      <c r="D9" s="14" t="n">
        <v>8</v>
      </c>
    </row>
    <row r="10">
      <c r="A10" s="5" t="inlineStr">
        <is>
          <t>错误</t>
        </is>
      </c>
      <c r="B10" s="10" t="n">
        <v>0</v>
      </c>
      <c r="C10" s="11" t="n">
        <v>8</v>
      </c>
      <c r="D10" s="14" t="n">
        <v>-8</v>
      </c>
    </row>
    <row r="11">
      <c r="A11" s="7" t="inlineStr">
        <is>
          <t>未知</t>
        </is>
      </c>
      <c r="B11" s="10" t="n">
        <v>0</v>
      </c>
      <c r="C11" s="11" t="n">
        <v>0</v>
      </c>
      <c r="D11" s="15" t="n">
        <v>0</v>
      </c>
    </row>
    <row r="12">
      <c r="A12" s="5" t="inlineStr">
        <is>
          <t>正确率</t>
        </is>
      </c>
      <c r="B12" s="16" t="n">
        <v>100</v>
      </c>
      <c r="C12" s="17" t="n">
        <v>33.33333333333333</v>
      </c>
      <c r="D12" s="18" t="n">
        <v>66.666667</v>
      </c>
    </row>
    <row r="13">
      <c r="A13" s="7" t="inlineStr">
        <is>
          <t>错误率</t>
        </is>
      </c>
      <c r="B13" s="16" t="n">
        <v>0</v>
      </c>
      <c r="C13" s="17" t="n">
        <v>66.66666666666666</v>
      </c>
      <c r="D13" s="18" t="n">
        <v>-66.666667</v>
      </c>
    </row>
    <row r="14">
      <c r="A14" s="5" t="inlineStr">
        <is>
          <t>均文档召回</t>
        </is>
      </c>
      <c r="B14" s="16" t="n">
        <v>91.66666666666666</v>
      </c>
      <c r="C14" s="17" t="n">
        <v>66.66666666666666</v>
      </c>
      <c r="D14" s="18" t="n">
        <v>25</v>
      </c>
    </row>
    <row r="15">
      <c r="A15" s="7" t="inlineStr">
        <is>
          <t>每问平均延迟 s</t>
        </is>
      </c>
      <c r="B15" s="19" t="n">
        <v>69.31176149682142</v>
      </c>
      <c r="C15" s="20" t="n">
        <v>6.04694191608966</v>
      </c>
      <c r="D15" s="21" t="n">
        <v>63.26482</v>
      </c>
    </row>
    <row r="16">
      <c r="A16" s="5" t="inlineStr">
        <is>
          <t>每问平均检索合计 s</t>
        </is>
      </c>
      <c r="B16" s="19" t="n">
        <v>54.65516917628702</v>
      </c>
      <c r="C16" s="20" t="n">
        <v>0.48625</v>
      </c>
      <c r="D16" s="21" t="n">
        <v>54.168919</v>
      </c>
    </row>
    <row r="17">
      <c r="A17" s="7" t="inlineStr">
        <is>
          <t>每问平均墙钟 s</t>
        </is>
      </c>
      <c r="B17" s="19" t="n">
        <v>69.32603604740386</v>
      </c>
      <c r="C17" s="20" t="n">
        <v>6.154227574394706</v>
      </c>
      <c r="D17" s="21" t="n">
        <v>63.171808</v>
      </c>
    </row>
    <row r="18">
      <c r="A18" s="5" t="inlineStr">
        <is>
          <t>单次 search 平均 s</t>
        </is>
      </c>
      <c r="B18" s="19" t="n">
        <v>28.84428771455746</v>
      </c>
      <c r="C18" s="22" t="n"/>
      <c r="D18" s="23" t="n"/>
    </row>
    <row r="19">
      <c r="A19" s="7" t="inlineStr">
        <is>
          <t>每问平均 search 次数</t>
        </is>
      </c>
      <c r="B19" s="24" t="n">
        <v>1.75</v>
      </c>
      <c r="C19" s="25" t="n">
        <v>1</v>
      </c>
      <c r="D19" s="26" t="n">
        <v>0.75</v>
      </c>
    </row>
    <row r="20">
      <c r="A20" s="5" t="inlineStr">
        <is>
          <t>每问平均 turns</t>
        </is>
      </c>
      <c r="B20" s="24" t="n">
        <v>4.166666666666667</v>
      </c>
      <c r="C20" s="27" t="n"/>
      <c r="D20" s="28" t="n"/>
    </row>
    <row r="21">
      <c r="A21" s="7" t="inlineStr">
        <is>
          <t>每问平均工具调用</t>
        </is>
      </c>
      <c r="B21" s="29" t="n"/>
      <c r="C21" s="25" t="n">
        <v>2</v>
      </c>
      <c r="D21" s="30" t="n"/>
    </row>
    <row r="22">
      <c r="A22" s="5" t="inlineStr">
        <is>
          <t>每问平均引用文档数</t>
        </is>
      </c>
      <c r="B22" s="29" t="n"/>
      <c r="C22" s="25" t="n">
        <v>9.083333333333334</v>
      </c>
      <c r="D22" s="28" t="n"/>
    </row>
    <row r="23">
      <c r="A23" s="7" t="inlineStr">
        <is>
          <t>预加载 每问平均 s</t>
        </is>
      </c>
      <c r="B23" s="19" t="n">
        <v>3.25e-06</v>
      </c>
      <c r="C23" s="22" t="n"/>
      <c r="D23" s="31" t="n"/>
    </row>
    <row r="24">
      <c r="A24" s="5" t="inlineStr">
        <is>
          <t>改写 每问平均 s</t>
        </is>
      </c>
      <c r="B24" s="19" t="n">
        <v>1.133333333333333e-05</v>
      </c>
      <c r="C24" s="22" t="n"/>
      <c r="D24" s="23" t="n"/>
    </row>
    <row r="25">
      <c r="A25" s="7" t="inlineStr">
        <is>
          <t>chunk路 每问平均 s</t>
        </is>
      </c>
      <c r="B25" s="19" t="n">
        <v>0.008068000000000001</v>
      </c>
      <c r="C25" s="22" t="n"/>
      <c r="D25" s="31" t="n"/>
    </row>
    <row r="26">
      <c r="A26" s="5" t="inlineStr">
        <is>
          <t>node路 每问平均 s</t>
        </is>
      </c>
      <c r="B26" s="19" t="n">
        <v>0.006769083333333333</v>
      </c>
      <c r="C26" s="22" t="n"/>
      <c r="D26" s="23" t="n"/>
    </row>
    <row r="27">
      <c r="A27" s="7" t="inlineStr">
        <is>
          <t>keyword路 每问平均 s</t>
        </is>
      </c>
      <c r="B27" s="19" t="n">
        <v>23.33002775</v>
      </c>
      <c r="C27" s="22" t="n"/>
      <c r="D27" s="31" t="n"/>
    </row>
    <row r="28">
      <c r="A28" s="5" t="inlineStr">
        <is>
          <t>重排 每问平均 s</t>
        </is>
      </c>
      <c r="B28" s="19" t="n">
        <v>30.76000608333334</v>
      </c>
      <c r="C28" s="22" t="n"/>
      <c r="D28" s="23" t="n"/>
    </row>
    <row r="29">
      <c r="A29" s="7" t="inlineStr">
        <is>
          <t>chunk路 每次search平均 s</t>
        </is>
      </c>
      <c r="B29" s="19" t="n">
        <v>0.007376480555555555</v>
      </c>
      <c r="C29" s="22" t="n"/>
      <c r="D29" s="31" t="n"/>
    </row>
    <row r="30">
      <c r="A30" s="5" t="inlineStr">
        <is>
          <t>node路 每次search平均 s</t>
        </is>
      </c>
      <c r="B30" s="19" t="n">
        <v>0.005817172222222222</v>
      </c>
      <c r="C30" s="22" t="n"/>
      <c r="D30" s="23" t="n"/>
    </row>
    <row r="31">
      <c r="A31" s="7" t="inlineStr">
        <is>
          <t>keyword路 每次search平均 s</t>
        </is>
      </c>
      <c r="B31" s="19" t="n">
        <v>13.01863296111111</v>
      </c>
      <c r="C31" s="22" t="n"/>
      <c r="D31" s="31" t="n"/>
    </row>
    <row r="32">
      <c r="A32" s="5" t="inlineStr">
        <is>
          <t>问答总耗时 s</t>
        </is>
      </c>
      <c r="B32" s="19" t="n">
        <v>831.741137961857</v>
      </c>
      <c r="C32" s="20" t="n">
        <v>72.56330299307592</v>
      </c>
      <c r="D32" s="21" t="n">
        <v>759.177835</v>
      </c>
    </row>
    <row r="33">
      <c r="A33" s="7" t="inlineStr">
        <is>
          <t>检索总耗时 s</t>
        </is>
      </c>
      <c r="B33" s="19" t="n">
        <v>655.8620301154442</v>
      </c>
      <c r="C33" s="20" t="n">
        <v>5.835</v>
      </c>
      <c r="D33" s="21" t="n">
        <v>650.02703</v>
      </c>
    </row>
    <row r="34">
      <c r="A34" s="5" t="inlineStr">
        <is>
          <t>prompt tokens 合计</t>
        </is>
      </c>
      <c r="B34" s="10" t="n">
        <v>510407</v>
      </c>
      <c r="C34" s="32" t="n"/>
      <c r="D34" s="33" t="n"/>
    </row>
    <row r="35">
      <c r="A35" s="7" t="inlineStr">
        <is>
          <t>completion tokens 合计</t>
        </is>
      </c>
      <c r="B35" s="10" t="n">
        <v>15096</v>
      </c>
      <c r="C35" s="32" t="n"/>
      <c r="D35" s="34" t="n"/>
    </row>
    <row r="36">
      <c r="A36" s="5" t="inlineStr">
        <is>
          <t>tokens 合计</t>
        </is>
      </c>
      <c r="B36" s="10" t="n">
        <v>525503</v>
      </c>
      <c r="C36" s="32" t="n"/>
      <c r="D36" s="33" t="n"/>
    </row>
    <row r="37">
      <c r="A37" s="7" t="inlineStr">
        <is>
          <t>均 prompt tokens</t>
        </is>
      </c>
      <c r="B37" s="24" t="n">
        <v>42533.91666666666</v>
      </c>
      <c r="C37" s="27" t="n"/>
      <c r="D37" s="30" t="n"/>
    </row>
    <row r="38">
      <c r="A38" s="5" t="inlineStr">
        <is>
          <t>均 completion tokens</t>
        </is>
      </c>
      <c r="B38" s="24" t="n">
        <v>1258</v>
      </c>
      <c r="C38" s="27" t="n"/>
      <c r="D38" s="28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5.30000000000001" customWidth="1" min="1" max="1"/>
    <col width="46.95000000000003" customWidth="1" min="2" max="2"/>
    <col width="13.95" customWidth="1" min="3" max="3"/>
    <col width="13.95" customWidth="1" min="4" max="4"/>
    <col width="8" customWidth="1" min="5" max="5"/>
  </cols>
  <sheetData>
    <row r="1" ht="24" customHeight="1">
      <c r="A1" s="1" t="inlineStr">
        <is>
          <t>Agentic vs WeKnora 对比</t>
        </is>
      </c>
    </row>
    <row r="2"/>
    <row r="3" ht="22" customHeight="1">
      <c r="A3" s="3" t="inlineStr">
        <is>
          <t>项目</t>
        </is>
      </c>
      <c r="B3" s="3" t="inlineStr">
        <is>
          <t>值</t>
        </is>
      </c>
    </row>
    <row r="4">
      <c r="A4" s="5" t="inlineStr">
        <is>
          <t>配对题数</t>
        </is>
      </c>
      <c r="B4" s="9" t="n">
        <v>12</v>
      </c>
    </row>
    <row r="5">
      <c r="A5" s="7" t="inlineStr">
        <is>
          <t>对比打分题数</t>
        </is>
      </c>
      <c r="B5" s="8" t="n">
        <v>12</v>
      </c>
    </row>
    <row r="6">
      <c r="A6" s="5" t="inlineStr">
        <is>
          <t>双方都正确</t>
        </is>
      </c>
      <c r="B6" s="35" t="n">
        <v>4</v>
      </c>
    </row>
    <row r="7">
      <c r="A7" s="7" t="inlineStr">
        <is>
          <t>仅 Agentic 正确</t>
        </is>
      </c>
      <c r="B7" s="36" t="n">
        <v>8</v>
      </c>
    </row>
    <row r="8">
      <c r="A8" s="5" t="inlineStr">
        <is>
          <t>仅WeKnora正确</t>
        </is>
      </c>
      <c r="B8" s="37" t="n">
        <v>0</v>
      </c>
    </row>
    <row r="9">
      <c r="A9" s="7" t="inlineStr">
        <is>
          <t>双方都错误</t>
        </is>
      </c>
      <c r="B9" s="35" t="n">
        <v>0</v>
      </c>
    </row>
    <row r="10">
      <c r="A10" s="5" t="inlineStr">
        <is>
          <t>胜负来源</t>
        </is>
      </c>
      <c r="B10" s="5" t="inlineStr">
        <is>
          <t>胜负优先取裁判 comparison.winner；缺省则正确&gt;错误</t>
        </is>
      </c>
    </row>
    <row r="11">
      <c r="A11" s="7" t="inlineStr">
        <is>
          <t>Agentic 胜</t>
        </is>
      </c>
      <c r="B11" s="36" t="n">
        <v>12</v>
      </c>
    </row>
    <row r="12">
      <c r="A12" s="5" t="inlineStr">
        <is>
          <t>WeKnora胜</t>
        </is>
      </c>
      <c r="B12" s="37" t="n">
        <v>0</v>
      </c>
    </row>
    <row r="13">
      <c r="A13" s="7" t="inlineStr">
        <is>
          <t>平局</t>
        </is>
      </c>
      <c r="B13" s="35" t="n">
        <v>0</v>
      </c>
    </row>
    <row r="14">
      <c r="A14" s="5" t="inlineStr">
        <is>
          <t>Agentic 胜率</t>
        </is>
      </c>
      <c r="B14" s="38" t="n">
        <v>1</v>
      </c>
    </row>
    <row r="15">
      <c r="A15" s="7" t="inlineStr">
        <is>
          <t>WeKnora胜率</t>
        </is>
      </c>
      <c r="B15" s="39" t="n">
        <v>0</v>
      </c>
    </row>
    <row r="16">
      <c r="A16" s="5" t="inlineStr">
        <is>
          <t>平局率</t>
        </is>
      </c>
      <c r="B16" s="38" t="n">
        <v>0</v>
      </c>
    </row>
    <row r="17"/>
    <row r="18">
      <c r="A18" s="40" t="inlineStr">
        <is>
          <t>胜负</t>
        </is>
      </c>
    </row>
    <row r="19" ht="22" customHeight="1">
      <c r="A19" s="3" t="inlineStr">
        <is>
          <t>结果</t>
        </is>
      </c>
      <c r="B19" s="3" t="inlineStr">
        <is>
          <t>题数</t>
        </is>
      </c>
    </row>
    <row r="20">
      <c r="A20" s="5" t="inlineStr">
        <is>
          <t>Agentic 胜</t>
        </is>
      </c>
      <c r="B20" s="12" t="n">
        <v>12</v>
      </c>
    </row>
    <row r="21">
      <c r="A21" s="5" t="inlineStr">
        <is>
          <t>WeKnora胜</t>
        </is>
      </c>
      <c r="B21" s="12" t="n">
        <v>0</v>
      </c>
    </row>
    <row r="22">
      <c r="A22" s="5" t="inlineStr">
        <is>
          <t>平局</t>
        </is>
      </c>
      <c r="B22" s="12" t="n">
        <v>0</v>
      </c>
    </row>
    <row r="23"/>
    <row r="24"/>
    <row r="25">
      <c r="A25" s="40" t="inlineStr">
        <is>
          <t>评判交叉表（行=Agentic，列=WeKnora）</t>
        </is>
      </c>
    </row>
    <row r="26" ht="22" customHeight="1">
      <c r="A26" s="3" t="inlineStr">
        <is>
          <t>Agentic \ WeKnora</t>
        </is>
      </c>
      <c r="B26" s="3" t="inlineStr">
        <is>
          <t>WeKnora·正确</t>
        </is>
      </c>
      <c r="C26" s="3" t="inlineStr">
        <is>
          <t>WeKnora·错误</t>
        </is>
      </c>
      <c r="D26" s="3" t="inlineStr">
        <is>
          <t>WeKnora·未知</t>
        </is>
      </c>
      <c r="E26" s="3" t="inlineStr">
        <is>
          <t>行合计</t>
        </is>
      </c>
    </row>
    <row r="27">
      <c r="A27" s="5" t="inlineStr">
        <is>
          <t>Agentic·正确</t>
        </is>
      </c>
      <c r="B27" s="12" t="n">
        <v>4</v>
      </c>
      <c r="C27" s="12" t="n">
        <v>8</v>
      </c>
      <c r="D27" s="12" t="n">
        <v>0</v>
      </c>
      <c r="E27" s="12" t="n">
        <v>12</v>
      </c>
    </row>
    <row r="28">
      <c r="A28" s="5" t="inlineStr">
        <is>
          <t>Agentic·错误</t>
        </is>
      </c>
      <c r="B28" s="12" t="n">
        <v>0</v>
      </c>
      <c r="C28" s="12" t="n">
        <v>0</v>
      </c>
      <c r="D28" s="12" t="n">
        <v>0</v>
      </c>
      <c r="E28" s="12" t="n">
        <v>0</v>
      </c>
    </row>
    <row r="29">
      <c r="A29" s="5" t="inlineStr">
        <is>
          <t>Agentic·未知</t>
        </is>
      </c>
      <c r="B29" s="12" t="n">
        <v>0</v>
      </c>
      <c r="C29" s="12" t="n">
        <v>0</v>
      </c>
      <c r="D29" s="12" t="n">
        <v>0</v>
      </c>
      <c r="E29" s="12" t="n">
        <v>0</v>
      </c>
    </row>
    <row r="30">
      <c r="A30" s="5" t="inlineStr">
        <is>
          <t>列合计</t>
        </is>
      </c>
      <c r="B30" s="12" t="n">
        <v>4</v>
      </c>
      <c r="C30" s="12" t="n">
        <v>8</v>
      </c>
      <c r="D30" s="12" t="n">
        <v>0</v>
      </c>
      <c r="E30" s="12" t="n">
        <v>12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60000000000001" customWidth="1" min="1" max="1"/>
    <col width="8.85" customWidth="1" min="2" max="2"/>
    <col width="15" customWidth="1" min="3" max="3"/>
    <col width="15" customWidth="1" min="4" max="4"/>
    <col width="8.300000000000001" customWidth="1" min="5" max="5"/>
    <col width="13.3" customWidth="1" min="6" max="6"/>
    <col width="13.3" customWidth="1" min="7" max="7"/>
    <col width="13.3" customWidth="1" min="8" max="8"/>
    <col width="13.3" customWidth="1" min="9" max="9"/>
    <col width="20.40000000000001" customWidth="1" min="10" max="10"/>
    <col width="20.40000000000001" customWidth="1" min="11" max="11"/>
    <col width="20.40000000000001" customWidth="1" min="12" max="12"/>
    <col width="20.40000000000001" customWidth="1" min="13" max="13"/>
    <col width="22.50000000000001" customWidth="1" min="14" max="14"/>
    <col width="11.85" customWidth="1" min="15" max="15"/>
    <col width="20.40000000000001" customWidth="1" min="16" max="16"/>
    <col width="24.60000000000001" customWidth="1" min="17" max="17"/>
    <col width="20.40000000000001" customWidth="1" min="18" max="18"/>
    <col width="24.60000000000001" customWidth="1" min="19" max="19"/>
    <col width="18.40000000000001" customWidth="1" min="20" max="20"/>
    <col width="18.40000000000001" customWidth="1" min="21" max="21"/>
  </cols>
  <sheetData>
    <row r="1" ht="24" customHeight="1">
      <c r="A1" s="1" t="inlineStr">
        <is>
          <t>按跳数切分：Agentic vs WeKnora</t>
        </is>
      </c>
    </row>
    <row r="2"/>
    <row r="3" ht="22" customHeight="1">
      <c r="A3" s="3" t="inlineStr">
        <is>
          <t>跳数</t>
        </is>
      </c>
      <c r="B3" s="3" t="inlineStr">
        <is>
          <t>n</t>
        </is>
      </c>
      <c r="C3" s="3" t="inlineStr">
        <is>
          <t>正确率_Agentic</t>
        </is>
      </c>
      <c r="D3" s="3" t="inlineStr">
        <is>
          <t>正确率_WeKnora</t>
        </is>
      </c>
      <c r="E3" s="3" t="inlineStr">
        <is>
          <t>正确率差</t>
        </is>
      </c>
      <c r="F3" s="3" t="inlineStr">
        <is>
          <t>正确_Agentic</t>
        </is>
      </c>
      <c r="G3" s="3" t="inlineStr">
        <is>
          <t>正确_WeKnora</t>
        </is>
      </c>
      <c r="H3" s="3" t="inlineStr">
        <is>
          <t>错误_Agentic</t>
        </is>
      </c>
      <c r="I3" s="3" t="inlineStr">
        <is>
          <t>错误_WeKnora</t>
        </is>
      </c>
      <c r="J3" s="3" t="inlineStr">
        <is>
          <t>每问平均s_Agentic</t>
        </is>
      </c>
      <c r="K3" s="3" t="inlineStr">
        <is>
          <t>每问平均s_WeKnora</t>
        </is>
      </c>
      <c r="L3" s="3" t="inlineStr">
        <is>
          <t>每问检索合计s</t>
        </is>
      </c>
      <c r="M3" s="3" t="inlineStr">
        <is>
          <t>单次search平均s</t>
        </is>
      </c>
      <c r="N3" s="3" t="inlineStr">
        <is>
          <t>chunk路每问s</t>
        </is>
      </c>
      <c r="O3" s="3" t="inlineStr">
        <is>
          <t>node路每问s</t>
        </is>
      </c>
      <c r="P3" s="3" t="inlineStr">
        <is>
          <t>keyword路每问s</t>
        </is>
      </c>
      <c r="Q3" s="3" t="inlineStr">
        <is>
          <t>改写每问s</t>
        </is>
      </c>
      <c r="R3" s="3" t="inlineStr">
        <is>
          <t>重排每问s</t>
        </is>
      </c>
      <c r="S3" s="3" t="inlineStr">
        <is>
          <t>预加载每问s</t>
        </is>
      </c>
      <c r="T3" s="3" t="inlineStr">
        <is>
          <t>均文档召回_Agentic</t>
        </is>
      </c>
      <c r="U3" s="3" t="inlineStr">
        <is>
          <t>均文档召回_WeKnora</t>
        </is>
      </c>
    </row>
    <row r="4">
      <c r="A4" s="5" t="inlineStr">
        <is>
          <t>1</t>
        </is>
      </c>
      <c r="B4" s="12" t="n">
        <v>10</v>
      </c>
      <c r="C4" s="16" t="n">
        <v>100</v>
      </c>
      <c r="D4" s="17" t="n">
        <v>30</v>
      </c>
      <c r="E4" s="18" t="n">
        <v>70</v>
      </c>
      <c r="F4" s="12" t="n">
        <v>10</v>
      </c>
      <c r="G4" s="12" t="n">
        <v>3</v>
      </c>
      <c r="H4" s="12" t="n">
        <v>0</v>
      </c>
      <c r="I4" s="12" t="n">
        <v>7</v>
      </c>
      <c r="J4" s="41" t="n">
        <v>76.49454673710279</v>
      </c>
      <c r="K4" s="41" t="n">
        <v>5.361539968801663</v>
      </c>
      <c r="L4" s="41" t="n">
        <v>64.92989816935733</v>
      </c>
      <c r="M4" s="41" t="n">
        <v>34.44047276997784</v>
      </c>
      <c r="N4" s="41" t="n">
        <v>0.009265800000000001</v>
      </c>
      <c r="O4" s="41" t="n">
        <v>0.0072537</v>
      </c>
      <c r="P4" s="41" t="n">
        <v>27.6993523</v>
      </c>
      <c r="Q4" s="41" t="n">
        <v>5.2e-06</v>
      </c>
      <c r="R4" s="41" t="n">
        <v>36.70087220000001</v>
      </c>
      <c r="S4" s="41" t="n">
        <v>2.5e-06</v>
      </c>
      <c r="T4" s="38" t="n">
        <v>90</v>
      </c>
      <c r="U4" s="38" t="n">
        <v>70</v>
      </c>
    </row>
    <row r="5">
      <c r="A5" s="7" t="inlineStr">
        <is>
          <t>2</t>
        </is>
      </c>
      <c r="B5" s="15" t="n">
        <v>1</v>
      </c>
      <c r="C5" s="16" t="n">
        <v>100</v>
      </c>
      <c r="D5" s="17" t="n">
        <v>0</v>
      </c>
      <c r="E5" s="18" t="n">
        <v>100</v>
      </c>
      <c r="F5" s="15" t="n">
        <v>1</v>
      </c>
      <c r="G5" s="15" t="n">
        <v>0</v>
      </c>
      <c r="H5" s="15" t="n">
        <v>0</v>
      </c>
      <c r="I5" s="15" t="n">
        <v>1</v>
      </c>
      <c r="J5" s="42" t="n">
        <v>26.50530475797132</v>
      </c>
      <c r="K5" s="42" t="n">
        <v>7.725757966050878</v>
      </c>
      <c r="L5" s="42" t="n">
        <v>3.457184492843226</v>
      </c>
      <c r="M5" s="42" t="n">
        <v>0.6914368985686451</v>
      </c>
      <c r="N5" s="42" t="n">
        <v>0.004158</v>
      </c>
      <c r="O5" s="42" t="n">
        <v>0.008692</v>
      </c>
      <c r="P5" s="42" t="n">
        <v>0.790901</v>
      </c>
      <c r="Q5" s="42" t="n">
        <v>1.8e-05</v>
      </c>
      <c r="R5" s="42" t="n">
        <v>1.182716</v>
      </c>
      <c r="S5" s="42" t="n">
        <v>9e-06</v>
      </c>
      <c r="T5" s="39" t="n">
        <v>100</v>
      </c>
      <c r="U5" s="39" t="n">
        <v>100</v>
      </c>
    </row>
    <row r="6">
      <c r="A6" s="5" t="inlineStr">
        <is>
          <t>3</t>
        </is>
      </c>
      <c r="B6" s="12" t="n">
        <v>1</v>
      </c>
      <c r="C6" s="16" t="n">
        <v>100</v>
      </c>
      <c r="D6" s="17" t="n">
        <v>100</v>
      </c>
      <c r="E6" s="43" t="n">
        <v>0</v>
      </c>
      <c r="F6" s="12" t="n">
        <v>1</v>
      </c>
      <c r="G6" s="12" t="n">
        <v>1</v>
      </c>
      <c r="H6" s="12" t="n">
        <v>0</v>
      </c>
      <c r="I6" s="12" t="n">
        <v>0</v>
      </c>
      <c r="J6" s="41" t="n">
        <v>40.29036583285779</v>
      </c>
      <c r="K6" s="41" t="n">
        <v>11.22214533900842</v>
      </c>
      <c r="L6" s="41" t="n">
        <v>3.105863929027691</v>
      </c>
      <c r="M6" s="41" t="n">
        <v>1.035287976342564</v>
      </c>
      <c r="N6" s="41" t="n">
        <v>0</v>
      </c>
      <c r="O6" s="41" t="n">
        <v>0</v>
      </c>
      <c r="P6" s="41" t="n">
        <v>2.175909</v>
      </c>
      <c r="Q6" s="41" t="n">
        <v>6.600000000000001e-05</v>
      </c>
      <c r="R6" s="41" t="n">
        <v>0.9286350000000001</v>
      </c>
      <c r="S6" s="41" t="n">
        <v>5e-06</v>
      </c>
      <c r="T6" s="38" t="n">
        <v>100</v>
      </c>
      <c r="U6" s="38" t="n">
        <v>0</v>
      </c>
    </row>
    <row r="7"/>
    <row r="8"/>
    <row r="9">
      <c r="A9" s="40" t="inlineStr">
        <is>
          <t>各跳正确率</t>
        </is>
      </c>
    </row>
    <row r="10" ht="22" customHeight="1">
      <c r="A10" s="3" t="inlineStr">
        <is>
          <t>跳数</t>
        </is>
      </c>
      <c r="B10" s="3" t="inlineStr">
        <is>
          <t>Agentic</t>
        </is>
      </c>
      <c r="C10" s="3" t="inlineStr">
        <is>
          <t>WeKnora</t>
        </is>
      </c>
    </row>
    <row r="11">
      <c r="A11" s="5" t="inlineStr">
        <is>
          <t>1</t>
        </is>
      </c>
      <c r="B11" s="38" t="n">
        <v>100</v>
      </c>
      <c r="C11" s="38" t="n">
        <v>30</v>
      </c>
    </row>
    <row r="12">
      <c r="A12" s="5" t="inlineStr">
        <is>
          <t>2</t>
        </is>
      </c>
      <c r="B12" s="38" t="n">
        <v>100</v>
      </c>
      <c r="C12" s="38" t="n">
        <v>0</v>
      </c>
    </row>
    <row r="13">
      <c r="A13" s="5" t="inlineStr">
        <is>
          <t>3</t>
        </is>
      </c>
      <c r="B13" s="38" t="n">
        <v>100</v>
      </c>
      <c r="C13" s="38" t="n">
        <v>100</v>
      </c>
    </row>
  </sheetData>
  <autoFilter ref="A3:U6"/>
  <mergeCells count="1">
    <mergeCell ref="A1:U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1.84999999999999" customWidth="1" min="1" max="1"/>
    <col width="4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4" customHeight="1">
      <c r="A1" s="1" t="inlineStr">
        <is>
          <t>文档召回 × 答案准确率（Agentic / WeKnora）</t>
        </is>
      </c>
    </row>
    <row r="2"/>
    <row r="3">
      <c r="A3" s="44" t="inlineStr">
        <is>
          <t>Agentic</t>
        </is>
      </c>
    </row>
    <row r="4" ht="22" customHeight="1">
      <c r="A4" s="3" t="inlineStr">
        <is>
          <t>项目</t>
        </is>
      </c>
      <c r="B4" s="3" t="inlineStr">
        <is>
          <t>值</t>
        </is>
      </c>
    </row>
    <row r="5">
      <c r="A5" s="5" t="inlineStr">
        <is>
          <t>均文档召回</t>
        </is>
      </c>
      <c r="B5" s="38" t="n">
        <v>91.66666666666666</v>
      </c>
    </row>
    <row r="6">
      <c r="A6" s="7" t="inlineStr">
        <is>
          <t>有召回字段题数</t>
        </is>
      </c>
      <c r="B6" s="8" t="n">
        <v>12</v>
      </c>
    </row>
    <row r="7">
      <c r="A7" s="5" t="inlineStr">
        <is>
          <t>总题数</t>
        </is>
      </c>
      <c r="B7" s="9" t="n">
        <v>12</v>
      </c>
    </row>
    <row r="8"/>
    <row r="9">
      <c r="A9" s="40" t="inlineStr">
        <is>
          <t>口径</t>
        </is>
      </c>
    </row>
    <row r="10" ht="22" customHeight="1">
      <c r="A10" s="3" t="inlineStr">
        <is>
          <t>桶</t>
        </is>
      </c>
      <c r="B10" s="3" t="inlineStr">
        <is>
          <t>说明</t>
        </is>
      </c>
    </row>
    <row r="11">
      <c r="A11" s="5" t="inlineStr">
        <is>
          <t>hit</t>
        </is>
      </c>
      <c r="B11" s="5" t="inlineStr">
        <is>
          <t>recall == 1.0：全部 gold 文档出现在 retrieval_sources</t>
        </is>
      </c>
    </row>
    <row r="12">
      <c r="A12" s="7" t="inlineStr">
        <is>
          <t>partial</t>
        </is>
      </c>
      <c r="B12" s="7" t="inlineStr">
        <is>
          <t>0 &lt; recall &lt; 1：部分 gold 命中</t>
        </is>
      </c>
    </row>
    <row r="13">
      <c r="A13" s="5" t="inlineStr">
        <is>
          <t>miss</t>
        </is>
      </c>
      <c r="B13" s="5" t="inlineStr">
        <is>
          <t>recall == 0.0：gold 均未出现在 retrieval_sources</t>
        </is>
      </c>
    </row>
    <row r="14">
      <c r="A14" s="7" t="inlineStr">
        <is>
          <t>unknown</t>
        </is>
      </c>
      <c r="B14" s="7" t="inlineStr">
        <is>
          <t>该题无有效 recall 字段</t>
        </is>
      </c>
    </row>
    <row r="15"/>
    <row r="16">
      <c r="A16" s="40" t="inlineStr">
        <is>
          <t>召回 × 准确率</t>
        </is>
      </c>
    </row>
    <row r="17" ht="22" customHeight="1">
      <c r="A17" s="3" t="inlineStr">
        <is>
          <t>召回 \ 准确率</t>
        </is>
      </c>
      <c r="B17" s="3" t="inlineStr">
        <is>
          <t>正确</t>
        </is>
      </c>
      <c r="C17" s="3" t="inlineStr">
        <is>
          <t>错误</t>
        </is>
      </c>
      <c r="D17" s="3" t="inlineStr">
        <is>
          <t>未知</t>
        </is>
      </c>
      <c r="E17" s="3" t="inlineStr">
        <is>
          <t>行合计</t>
        </is>
      </c>
    </row>
    <row r="18">
      <c r="A18" s="5" t="inlineStr">
        <is>
          <t>hit</t>
        </is>
      </c>
      <c r="B18" s="12" t="n">
        <v>11</v>
      </c>
      <c r="C18" s="12" t="n">
        <v>0</v>
      </c>
      <c r="D18" s="12" t="n">
        <v>0</v>
      </c>
      <c r="E18" s="12" t="n">
        <v>11</v>
      </c>
    </row>
    <row r="19">
      <c r="A19" s="5" t="inlineStr">
        <is>
          <t>partial</t>
        </is>
      </c>
      <c r="B19" s="12" t="n">
        <v>0</v>
      </c>
      <c r="C19" s="12" t="n">
        <v>0</v>
      </c>
      <c r="D19" s="12" t="n">
        <v>0</v>
      </c>
      <c r="E19" s="12" t="n">
        <v>0</v>
      </c>
    </row>
    <row r="20">
      <c r="A20" s="5" t="inlineStr">
        <is>
          <t>miss</t>
        </is>
      </c>
      <c r="B20" s="12" t="n">
        <v>1</v>
      </c>
      <c r="C20" s="12" t="n">
        <v>0</v>
      </c>
      <c r="D20" s="12" t="n">
        <v>0</v>
      </c>
      <c r="E20" s="12" t="n">
        <v>1</v>
      </c>
    </row>
    <row r="21">
      <c r="A21" s="5" t="inlineStr">
        <is>
          <t>unknown</t>
        </is>
      </c>
      <c r="B21" s="12" t="n">
        <v>0</v>
      </c>
      <c r="C21" s="12" t="n">
        <v>0</v>
      </c>
      <c r="D21" s="12" t="n">
        <v>0</v>
      </c>
      <c r="E21" s="12" t="n">
        <v>0</v>
      </c>
    </row>
    <row r="22">
      <c r="A22" s="5" t="inlineStr">
        <is>
          <t>列合计</t>
        </is>
      </c>
      <c r="B22" s="12" t="n">
        <v>12</v>
      </c>
      <c r="C22" s="12" t="n">
        <v>0</v>
      </c>
      <c r="D22" s="12" t="n">
        <v>0</v>
      </c>
      <c r="E22" s="12" t="n">
        <v>12</v>
      </c>
    </row>
    <row r="23"/>
    <row r="24"/>
    <row r="25">
      <c r="A25" s="45" t="inlineStr">
        <is>
          <t>WeKnora</t>
        </is>
      </c>
    </row>
    <row r="26" ht="22" customHeight="1">
      <c r="A26" s="3" t="inlineStr">
        <is>
          <t>项目</t>
        </is>
      </c>
      <c r="B26" s="3" t="inlineStr">
        <is>
          <t>值</t>
        </is>
      </c>
    </row>
    <row r="27">
      <c r="A27" s="5" t="inlineStr">
        <is>
          <t>均文档召回</t>
        </is>
      </c>
      <c r="B27" s="38" t="n">
        <v>66.66666666666666</v>
      </c>
    </row>
    <row r="28">
      <c r="A28" s="7" t="inlineStr">
        <is>
          <t>有召回字段题数</t>
        </is>
      </c>
      <c r="B28" s="8" t="n">
        <v>12</v>
      </c>
    </row>
    <row r="29">
      <c r="A29" s="5" t="inlineStr">
        <is>
          <t>总题数</t>
        </is>
      </c>
      <c r="B29" s="9" t="n">
        <v>12</v>
      </c>
    </row>
    <row r="30"/>
    <row r="31">
      <c r="A31" s="40" t="inlineStr">
        <is>
          <t>口径</t>
        </is>
      </c>
    </row>
    <row r="32" ht="22" customHeight="1">
      <c r="A32" s="3" t="inlineStr">
        <is>
          <t>桶</t>
        </is>
      </c>
      <c r="B32" s="3" t="inlineStr">
        <is>
          <t>说明</t>
        </is>
      </c>
    </row>
    <row r="33">
      <c r="A33" s="5" t="inlineStr">
        <is>
          <t>hit</t>
        </is>
      </c>
      <c r="B33" s="5" t="inlineStr">
        <is>
          <t>recall == 1.0：全部 gold 文档出现在 retrieval_sources</t>
        </is>
      </c>
    </row>
    <row r="34">
      <c r="A34" s="7" t="inlineStr">
        <is>
          <t>partial</t>
        </is>
      </c>
      <c r="B34" s="7" t="inlineStr">
        <is>
          <t>0 &lt; recall &lt; 1：部分 gold 命中</t>
        </is>
      </c>
    </row>
    <row r="35">
      <c r="A35" s="5" t="inlineStr">
        <is>
          <t>miss</t>
        </is>
      </c>
      <c r="B35" s="5" t="inlineStr">
        <is>
          <t>recall == 0.0：gold 均未出现在 retrieval_sources</t>
        </is>
      </c>
    </row>
    <row r="36">
      <c r="A36" s="7" t="inlineStr">
        <is>
          <t>unknown</t>
        </is>
      </c>
      <c r="B36" s="7" t="inlineStr">
        <is>
          <t>该题无有效 recall 字段</t>
        </is>
      </c>
    </row>
    <row r="37"/>
    <row r="38">
      <c r="A38" s="40" t="inlineStr">
        <is>
          <t>召回 × 准确率</t>
        </is>
      </c>
    </row>
    <row r="39" ht="22" customHeight="1">
      <c r="A39" s="3" t="inlineStr">
        <is>
          <t>召回 \ 准确率</t>
        </is>
      </c>
      <c r="B39" s="3" t="inlineStr">
        <is>
          <t>正确</t>
        </is>
      </c>
      <c r="C39" s="3" t="inlineStr">
        <is>
          <t>错误</t>
        </is>
      </c>
      <c r="D39" s="3" t="inlineStr">
        <is>
          <t>未知</t>
        </is>
      </c>
      <c r="E39" s="3" t="inlineStr">
        <is>
          <t>行合计</t>
        </is>
      </c>
    </row>
    <row r="40">
      <c r="A40" s="5" t="inlineStr">
        <is>
          <t>hit</t>
        </is>
      </c>
      <c r="B40" s="12" t="n">
        <v>2</v>
      </c>
      <c r="C40" s="12" t="n">
        <v>6</v>
      </c>
      <c r="D40" s="12" t="n">
        <v>0</v>
      </c>
      <c r="E40" s="12" t="n">
        <v>8</v>
      </c>
    </row>
    <row r="41">
      <c r="A41" s="5" t="inlineStr">
        <is>
          <t>partial</t>
        </is>
      </c>
      <c r="B41" s="12" t="n">
        <v>0</v>
      </c>
      <c r="C41" s="12" t="n">
        <v>0</v>
      </c>
      <c r="D41" s="12" t="n">
        <v>0</v>
      </c>
      <c r="E41" s="12" t="n">
        <v>0</v>
      </c>
    </row>
    <row r="42">
      <c r="A42" s="5" t="inlineStr">
        <is>
          <t>miss</t>
        </is>
      </c>
      <c r="B42" s="12" t="n">
        <v>2</v>
      </c>
      <c r="C42" s="12" t="n">
        <v>2</v>
      </c>
      <c r="D42" s="12" t="n">
        <v>0</v>
      </c>
      <c r="E42" s="12" t="n">
        <v>4</v>
      </c>
    </row>
    <row r="43">
      <c r="A43" s="5" t="inlineStr">
        <is>
          <t>unknown</t>
        </is>
      </c>
      <c r="B43" s="12" t="n">
        <v>0</v>
      </c>
      <c r="C43" s="12" t="n">
        <v>0</v>
      </c>
      <c r="D43" s="12" t="n">
        <v>0</v>
      </c>
      <c r="E43" s="12" t="n">
        <v>0</v>
      </c>
    </row>
    <row r="44">
      <c r="A44" s="5" t="inlineStr">
        <is>
          <t>列合计</t>
        </is>
      </c>
      <c r="B44" s="12" t="n">
        <v>4</v>
      </c>
      <c r="C44" s="12" t="n">
        <v>8</v>
      </c>
      <c r="D44" s="12" t="n">
        <v>0</v>
      </c>
      <c r="E44" s="12" t="n">
        <v>12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.7" customWidth="1" min="2" max="2"/>
    <col width="18" customWidth="1" min="3" max="3"/>
    <col width="18" customWidth="1" min="4" max="4"/>
    <col width="18" customWidth="1" min="5" max="5"/>
    <col width="13.7" customWidth="1" min="6" max="6"/>
    <col width="14.6" customWidth="1" min="7" max="7"/>
    <col width="18" customWidth="1" min="8" max="8"/>
    <col width="8.300000000000001" customWidth="1" min="9" max="9"/>
  </cols>
  <sheetData>
    <row r="1" ht="24" customHeight="1">
      <c r="A1" s="1" t="inlineStr">
        <is>
          <t>检索分阶段延迟（每问合计 / 每次 search 平均）</t>
        </is>
      </c>
    </row>
    <row r="2"/>
    <row r="3" ht="22" customHeight="1">
      <c r="A3" s="3" t="inlineStr">
        <is>
          <t>系统</t>
        </is>
      </c>
      <c r="B3" s="3" t="inlineStr">
        <is>
          <t>阶段</t>
        </is>
      </c>
      <c r="C3" s="3" t="inlineStr">
        <is>
          <t>每问平均 s</t>
        </is>
      </c>
      <c r="D3" s="3" t="inlineStr">
        <is>
          <t>合计 s</t>
        </is>
      </c>
      <c r="E3" s="3" t="inlineStr">
        <is>
          <t>每次search平均 s</t>
        </is>
      </c>
    </row>
    <row r="4">
      <c r="A4" s="5" t="inlineStr">
        <is>
          <t>Agentic</t>
        </is>
      </c>
      <c r="B4" s="5" t="inlineStr">
        <is>
          <t>每问总延迟</t>
        </is>
      </c>
      <c r="C4" s="41" t="n">
        <v>69.31176149682142</v>
      </c>
      <c r="D4" s="41" t="n">
        <v>831.741137961857</v>
      </c>
      <c r="E4" s="23" t="n"/>
    </row>
    <row r="5">
      <c r="A5" s="7" t="inlineStr">
        <is>
          <t>Agentic</t>
        </is>
      </c>
      <c r="B5" s="7" t="inlineStr">
        <is>
          <t>每问检索合计</t>
        </is>
      </c>
      <c r="C5" s="42" t="n">
        <v>54.65516917628702</v>
      </c>
      <c r="D5" s="42" t="n">
        <v>655.8620301154442</v>
      </c>
      <c r="E5" s="42" t="n">
        <v>28.84428771455746</v>
      </c>
    </row>
    <row r="6">
      <c r="A6" s="5" t="inlineStr">
        <is>
          <t>Agentic</t>
        </is>
      </c>
      <c r="B6" s="5" t="inlineStr">
        <is>
          <t>每问墙钟</t>
        </is>
      </c>
      <c r="C6" s="41" t="n">
        <v>69.32603604740386</v>
      </c>
      <c r="D6" s="41" t="n">
        <v>831.9124325688463</v>
      </c>
      <c r="E6" s="23" t="n"/>
    </row>
    <row r="7">
      <c r="A7" s="7" t="inlineStr">
        <is>
          <t>Agentic</t>
        </is>
      </c>
      <c r="B7" s="7" t="inlineStr">
        <is>
          <t>预加载</t>
        </is>
      </c>
      <c r="C7" s="42" t="n">
        <v>3.25e-06</v>
      </c>
      <c r="D7" s="42" t="n">
        <v>3.9e-05</v>
      </c>
      <c r="E7" s="42" t="n">
        <v>1.913888888888889e-06</v>
      </c>
    </row>
    <row r="8">
      <c r="A8" s="5" t="inlineStr">
        <is>
          <t>Agentic</t>
        </is>
      </c>
      <c r="B8" s="5" t="inlineStr">
        <is>
          <t>改写</t>
        </is>
      </c>
      <c r="C8" s="41" t="n">
        <v>1.133333333333333e-05</v>
      </c>
      <c r="D8" s="41" t="n">
        <v>0.000136</v>
      </c>
      <c r="E8" s="41" t="n">
        <v>5.56388888888889e-06</v>
      </c>
    </row>
    <row r="9">
      <c r="A9" s="7" t="inlineStr">
        <is>
          <t>Agentic</t>
        </is>
      </c>
      <c r="B9" s="7" t="inlineStr">
        <is>
          <t>向量化</t>
        </is>
      </c>
      <c r="C9" s="42" t="n">
        <v>0.5492301666666667</v>
      </c>
      <c r="D9" s="42" t="n">
        <v>6.590762000000001</v>
      </c>
      <c r="E9" s="42" t="n">
        <v>0.3539401805555555</v>
      </c>
    </row>
    <row r="10">
      <c r="A10" s="5" t="inlineStr">
        <is>
          <t>Agentic</t>
        </is>
      </c>
      <c r="B10" s="5" t="inlineStr">
        <is>
          <t>chunk路</t>
        </is>
      </c>
      <c r="C10" s="41" t="n">
        <v>0.008068000000000001</v>
      </c>
      <c r="D10" s="41" t="n">
        <v>0.096816</v>
      </c>
      <c r="E10" s="41" t="n">
        <v>0.007376480555555555</v>
      </c>
    </row>
    <row r="11">
      <c r="A11" s="7" t="inlineStr">
        <is>
          <t>Agentic</t>
        </is>
      </c>
      <c r="B11" s="7" t="inlineStr">
        <is>
          <t>node路</t>
        </is>
      </c>
      <c r="C11" s="42" t="n">
        <v>0.006769083333333333</v>
      </c>
      <c r="D11" s="42" t="n">
        <v>0.081229</v>
      </c>
      <c r="E11" s="42" t="n">
        <v>0.005817172222222222</v>
      </c>
    </row>
    <row r="12">
      <c r="A12" s="5" t="inlineStr">
        <is>
          <t>Agentic</t>
        </is>
      </c>
      <c r="B12" s="5" t="inlineStr">
        <is>
          <t>keyword路</t>
        </is>
      </c>
      <c r="C12" s="41" t="n">
        <v>23.33002775</v>
      </c>
      <c r="D12" s="41" t="n">
        <v>279.960333</v>
      </c>
      <c r="E12" s="41" t="n">
        <v>13.01863296111111</v>
      </c>
    </row>
    <row r="13">
      <c r="A13" s="7" t="inlineStr">
        <is>
          <t>Agentic</t>
        </is>
      </c>
      <c r="B13" s="7" t="inlineStr">
        <is>
          <t>扩展</t>
        </is>
      </c>
      <c r="C13" s="42" t="n">
        <v>0.0007382500000000001</v>
      </c>
      <c r="D13" s="42" t="n">
        <v>0.008859000000000001</v>
      </c>
      <c r="E13" s="42" t="n">
        <v>0.0004863361111111111</v>
      </c>
    </row>
    <row r="14">
      <c r="A14" s="5" t="inlineStr">
        <is>
          <t>Agentic</t>
        </is>
      </c>
      <c r="B14" s="5" t="inlineStr">
        <is>
          <t>重排</t>
        </is>
      </c>
      <c r="C14" s="41" t="n">
        <v>30.76000608333334</v>
      </c>
      <c r="D14" s="41" t="n">
        <v>369.120073</v>
      </c>
      <c r="E14" s="41" t="n">
        <v>15.45782396111111</v>
      </c>
    </row>
    <row r="15">
      <c r="A15" s="7" t="inlineStr">
        <is>
          <t>Agentic</t>
        </is>
      </c>
      <c r="B15" s="7" t="inlineStr">
        <is>
          <t>检索内部合计</t>
        </is>
      </c>
      <c r="C15" s="42" t="n">
        <v>54.65501358333333</v>
      </c>
      <c r="D15" s="42" t="n">
        <v>655.8601629999999</v>
      </c>
      <c r="E15" s="42" t="n">
        <v>28.84419307777777</v>
      </c>
    </row>
    <row r="16">
      <c r="A16" s="5" t="inlineStr">
        <is>
          <t>Agentic</t>
        </is>
      </c>
      <c r="B16" s="5" t="inlineStr">
        <is>
          <t>每问 search 次数</t>
        </is>
      </c>
      <c r="C16" s="41" t="n">
        <v>1.75</v>
      </c>
      <c r="D16" s="41" t="n">
        <v>21</v>
      </c>
      <c r="E16" s="23" t="n"/>
    </row>
    <row r="17">
      <c r="A17" s="7" t="inlineStr">
        <is>
          <t>Agentic</t>
        </is>
      </c>
      <c r="B17" s="7" t="inlineStr">
        <is>
          <t>每问 turns</t>
        </is>
      </c>
      <c r="C17" s="42" t="n">
        <v>4.166666666666667</v>
      </c>
      <c r="D17" s="42" t="n">
        <v>50</v>
      </c>
      <c r="E17" s="31" t="n"/>
    </row>
    <row r="18">
      <c r="A18" s="5" t="inlineStr">
        <is>
          <t>WeKnora</t>
        </is>
      </c>
      <c r="B18" s="5" t="inlineStr">
        <is>
          <t>每问总延迟</t>
        </is>
      </c>
      <c r="C18" s="41" t="n">
        <v>6.04694191608966</v>
      </c>
      <c r="D18" s="41" t="n">
        <v>72.56330299307592</v>
      </c>
      <c r="E18" s="23" t="n"/>
    </row>
    <row r="19">
      <c r="A19" s="7" t="inlineStr">
        <is>
          <t>WeKnora</t>
        </is>
      </c>
      <c r="B19" s="7" t="inlineStr">
        <is>
          <t>每问检索合计</t>
        </is>
      </c>
      <c r="C19" s="42" t="n">
        <v>0.48625</v>
      </c>
      <c r="D19" s="42" t="n">
        <v>5.835</v>
      </c>
      <c r="E19" s="31" t="n"/>
    </row>
    <row r="20">
      <c r="A20" s="5" t="inlineStr">
        <is>
          <t>WeKnora</t>
        </is>
      </c>
      <c r="B20" s="5" t="inlineStr">
        <is>
          <t>每问墙钟</t>
        </is>
      </c>
      <c r="C20" s="41" t="n">
        <v>6.154227574394706</v>
      </c>
      <c r="D20" s="41" t="n">
        <v>73.85073089273646</v>
      </c>
      <c r="E20" s="23" t="n"/>
    </row>
    <row r="21"/>
    <row r="22">
      <c r="A22" s="40" t="inlineStr">
        <is>
          <t>Token</t>
        </is>
      </c>
    </row>
    <row r="23" ht="22" customHeight="1">
      <c r="A23" s="3" t="inlineStr">
        <is>
          <t>系统</t>
        </is>
      </c>
      <c r="B23" s="3" t="inlineStr">
        <is>
          <t>prompt合计</t>
        </is>
      </c>
      <c r="C23" s="3" t="inlineStr">
        <is>
          <t>completion合计</t>
        </is>
      </c>
      <c r="D23" s="3" t="inlineStr">
        <is>
          <t>合计</t>
        </is>
      </c>
      <c r="E23" s="3" t="inlineStr">
        <is>
          <t>均prompt</t>
        </is>
      </c>
      <c r="F23" s="3" t="inlineStr">
        <is>
          <t>均completion</t>
        </is>
      </c>
      <c r="G23" s="3" t="inlineStr">
        <is>
          <t>评判prompt合计</t>
        </is>
      </c>
      <c r="H23" s="3" t="inlineStr">
        <is>
          <t>评判completion合计</t>
        </is>
      </c>
      <c r="I23" s="3" t="inlineStr">
        <is>
          <t>评判合计</t>
        </is>
      </c>
    </row>
    <row r="24">
      <c r="A24" s="5" t="inlineStr">
        <is>
          <t>Agentic</t>
        </is>
      </c>
      <c r="B24" s="12" t="n">
        <v>510407</v>
      </c>
      <c r="C24" s="12" t="n">
        <v>15096</v>
      </c>
      <c r="D24" s="12" t="n">
        <v>525503</v>
      </c>
      <c r="E24" s="46" t="n">
        <v>42533.91666666666</v>
      </c>
      <c r="F24" s="46" t="n">
        <v>1258</v>
      </c>
      <c r="G24" s="12" t="n">
        <v>44772</v>
      </c>
      <c r="H24" s="12" t="n">
        <v>12336</v>
      </c>
      <c r="I24" s="12" t="n">
        <v>57108</v>
      </c>
    </row>
    <row r="25">
      <c r="A25" s="5" t="inlineStr">
        <is>
          <t>WeKnora</t>
        </is>
      </c>
      <c r="B25" s="33" t="n"/>
      <c r="C25" s="33" t="n"/>
      <c r="D25" s="33" t="n"/>
      <c r="E25" s="28" t="n"/>
      <c r="F25" s="28" t="n"/>
      <c r="G25" s="12" t="n">
        <v>44772</v>
      </c>
      <c r="H25" s="12" t="n">
        <v>12336</v>
      </c>
      <c r="I25" s="12" t="n">
        <v>57108</v>
      </c>
    </row>
  </sheetData>
  <autoFilter ref="A3:E20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36" customWidth="1" min="3" max="3"/>
    <col width="28" customWidth="1" min="4" max="4"/>
    <col width="8.300000000000001" customWidth="1" min="5" max="5"/>
    <col width="9.1" customWidth="1" min="6" max="6"/>
    <col width="9.100000000000001" customWidth="1" min="7" max="7"/>
    <col width="10" customWidth="1" min="8" max="8"/>
    <col width="22" customWidth="1" min="9" max="9"/>
    <col width="12.25" customWidth="1" min="10" max="10"/>
    <col width="18.55" customWidth="1" min="11" max="11"/>
    <col width="20.40000000000001" customWidth="1" min="12" max="12"/>
    <col width="20.40000000000001" customWidth="1" min="13" max="13"/>
    <col width="20.40000000000001" customWidth="1" min="14" max="14"/>
    <col width="9.9" customWidth="1" min="15" max="15"/>
    <col width="8.85" customWidth="1" min="16" max="16"/>
    <col width="22" customWidth="1" min="17" max="17"/>
    <col width="22" customWidth="1" min="18" max="18"/>
    <col width="22" customWidth="1" min="19" max="19"/>
    <col width="9.9" customWidth="1" min="20" max="20"/>
    <col width="20.40000000000001" customWidth="1" min="21" max="21"/>
    <col width="20.40000000000001" customWidth="1" min="22" max="22"/>
    <col width="16.2" customWidth="1" min="23" max="23"/>
    <col width="17.34999999999999" customWidth="1" min="24" max="24"/>
    <col width="22" customWidth="1" min="25" max="25"/>
    <col width="22" customWidth="1" min="26" max="26"/>
    <col width="12.25" customWidth="1" min="27" max="27"/>
    <col width="12.25" customWidth="1" min="28" max="28"/>
    <col width="18.55" customWidth="1" min="29" max="29"/>
    <col width="20.40000000000001" customWidth="1" min="30" max="30"/>
    <col width="19.6" customWidth="1" min="31" max="31"/>
    <col width="13.95" customWidth="1" min="32" max="32"/>
    <col width="15.65" customWidth="1" min="33" max="33"/>
    <col width="16.45" customWidth="1" min="34" max="34"/>
    <col width="17.34999999999999" customWidth="1" min="35" max="35"/>
    <col width="22" customWidth="1" min="36" max="36"/>
    <col width="22" customWidth="1" min="37" max="37"/>
    <col width="12.25" customWidth="1" min="38" max="38"/>
    <col width="8.85" customWidth="1" min="39" max="39"/>
    <col width="22" customWidth="1" min="40" max="40"/>
    <col width="11.7" customWidth="1" min="41" max="41"/>
  </cols>
  <sheetData>
    <row r="1" ht="24" customHeight="1">
      <c r="A1" s="1" t="inlineStr">
        <is>
          <t>逐题明细（点选单元格可在编辑栏看全文）</t>
        </is>
      </c>
    </row>
    <row r="2"/>
    <row r="3" ht="22" customHeight="1">
      <c r="A3" s="3" t="inlineStr">
        <is>
          <t>ID</t>
        </is>
      </c>
      <c r="B3" s="3" t="inlineStr">
        <is>
          <t>跳数</t>
        </is>
      </c>
      <c r="C3" s="3" t="inlineStr">
        <is>
          <t>问题</t>
        </is>
      </c>
      <c r="D3" s="3" t="inlineStr">
        <is>
          <t>标准答案</t>
        </is>
      </c>
      <c r="E3" s="3" t="inlineStr">
        <is>
          <t>文档召回</t>
        </is>
      </c>
      <c r="F3" s="3" t="inlineStr">
        <is>
          <t>命中gold</t>
        </is>
      </c>
      <c r="G3" s="3" t="inlineStr">
        <is>
          <t>gold总数</t>
        </is>
      </c>
      <c r="H3" s="3" t="inlineStr">
        <is>
          <t>检索文档数</t>
        </is>
      </c>
      <c r="I3" s="3" t="inlineStr">
        <is>
          <t>gold文档</t>
        </is>
      </c>
      <c r="J3" s="3" t="inlineStr">
        <is>
          <t>Agentic评判</t>
        </is>
      </c>
      <c r="K3" s="3" t="inlineStr">
        <is>
          <t>Agentic query状态</t>
        </is>
      </c>
      <c r="L3" s="3" t="inlineStr">
        <is>
          <t>Agentic每问s</t>
        </is>
      </c>
      <c r="M3" s="3" t="inlineStr">
        <is>
          <t>检索合计s</t>
        </is>
      </c>
      <c r="N3" s="3" t="inlineStr">
        <is>
          <t>单次search平均s</t>
        </is>
      </c>
      <c r="O3" s="3" t="inlineStr">
        <is>
          <t>n_search</t>
        </is>
      </c>
      <c r="P3" s="3" t="inlineStr">
        <is>
          <t>n_turns</t>
        </is>
      </c>
      <c r="Q3" s="3" t="inlineStr">
        <is>
          <t>预加载s</t>
        </is>
      </c>
      <c r="R3" s="3" t="inlineStr">
        <is>
          <t>改写s</t>
        </is>
      </c>
      <c r="S3" s="3" t="inlineStr">
        <is>
          <t>chunk路s</t>
        </is>
      </c>
      <c r="T3" s="3" t="inlineStr">
        <is>
          <t>node路s</t>
        </is>
      </c>
      <c r="U3" s="3" t="inlineStr">
        <is>
          <t>keyword路s</t>
        </is>
      </c>
      <c r="V3" s="3" t="inlineStr">
        <is>
          <t>重排s</t>
        </is>
      </c>
      <c r="W3" s="3" t="inlineStr">
        <is>
          <t>Agentic tokens</t>
        </is>
      </c>
      <c r="X3" s="3" t="inlineStr">
        <is>
          <t>Agentic检索来源数</t>
        </is>
      </c>
      <c r="Y3" s="3" t="inlineStr">
        <is>
          <t>Agentic评判原因</t>
        </is>
      </c>
      <c r="Z3" s="3" t="inlineStr">
        <is>
          <t>Agentic答案</t>
        </is>
      </c>
      <c r="AA3" s="3" t="inlineStr">
        <is>
          <t>Agentic错误</t>
        </is>
      </c>
      <c r="AB3" s="3" t="inlineStr">
        <is>
          <t>WeKnora评判</t>
        </is>
      </c>
      <c r="AC3" s="3" t="inlineStr">
        <is>
          <t>WeKnora query状态</t>
        </is>
      </c>
      <c r="AD3" s="3" t="inlineStr">
        <is>
          <t>WeKnora问答s</t>
        </is>
      </c>
      <c r="AE3" s="3" t="inlineStr">
        <is>
          <t>WeKnora search次数</t>
        </is>
      </c>
      <c r="AF3" s="3" t="inlineStr">
        <is>
          <t>WeKnora引用数</t>
        </is>
      </c>
      <c r="AG3" s="3" t="inlineStr">
        <is>
          <t>WeKnora文档召回</t>
        </is>
      </c>
      <c r="AH3" s="3" t="inlineStr">
        <is>
          <t>WeKnora命中gold</t>
        </is>
      </c>
      <c r="AI3" s="3" t="inlineStr">
        <is>
          <t>WeKnora检索文档数</t>
        </is>
      </c>
      <c r="AJ3" s="3" t="inlineStr">
        <is>
          <t>WeKnora评判原因</t>
        </is>
      </c>
      <c r="AK3" s="3" t="inlineStr">
        <is>
          <t>WeKnora答案</t>
        </is>
      </c>
      <c r="AL3" s="3" t="inlineStr">
        <is>
          <t>WeKnora错误</t>
        </is>
      </c>
      <c r="AM3" s="3" t="inlineStr">
        <is>
          <t>胜者</t>
        </is>
      </c>
      <c r="AN3" s="3" t="inlineStr">
        <is>
          <t>对比理由</t>
        </is>
      </c>
      <c r="AO3" s="3" t="inlineStr">
        <is>
          <t>评判是否一致</t>
        </is>
      </c>
    </row>
    <row r="4">
      <c r="A4" s="5" t="inlineStr">
        <is>
          <t>q_1hop_0001</t>
        </is>
      </c>
      <c r="B4" s="12" t="n">
        <v>1</v>
      </c>
      <c r="C4" s="5" t="inlineStr">
        <is>
          <t>我们在开发一款用于儿童玩具的柔性聚氯乙烯（PVC）糊树脂配方，正在评估伊士曼（Eastman）的苯甲酸酯增塑剂 Benzoflex™ VP-953。请确认该产品是否适用于此类应用，并列出其关键物理参数（比重、粘度、闪点）及酸度上限，以便我们进行工艺和安全评估。</t>
        </is>
      </c>
      <c r="D4" s="5" t="inlineStr">
        <is>
          <t>Benzoflex™ VP-953 适用于儿童用品和聚氯乙烯糊树脂应用。其关键参数为：比重 1.16（20℃/20℃），粘度 65 cP（25℃），闪点 186 °C（367 °F，闭杯法），酸度最大 0.3 wt%。</t>
        </is>
      </c>
      <c r="E4" s="38" t="n">
        <v>100</v>
      </c>
      <c r="F4" s="12" t="n">
        <v>1</v>
      </c>
      <c r="G4" s="12" t="n">
        <v>1</v>
      </c>
      <c r="H4" s="12" t="n">
        <v>8</v>
      </c>
      <c r="I4" s="5" t="inlineStr">
        <is>
          <t>4936ba9ba2bcd1eff72edfaa21a51394.pdf</t>
        </is>
      </c>
      <c r="J4" s="5" t="inlineStr">
        <is>
          <t>正确</t>
        </is>
      </c>
      <c r="K4" s="12" t="n">
        <v>1</v>
      </c>
      <c r="L4" s="41" t="n">
        <v>13.61646696808748</v>
      </c>
      <c r="M4" s="41" t="n">
        <v>1.070085012819618</v>
      </c>
      <c r="N4" s="41" t="n">
        <v>1.070085012819618</v>
      </c>
      <c r="O4" s="12" t="n">
        <v>1</v>
      </c>
      <c r="P4" s="12" t="n">
        <v>4</v>
      </c>
      <c r="Q4" s="41" t="n">
        <v>2e-06</v>
      </c>
      <c r="R4" s="41" t="n">
        <v>4e-06</v>
      </c>
      <c r="S4" s="41" t="n">
        <v>0.02595</v>
      </c>
      <c r="T4" s="41" t="n">
        <v>0.002384</v>
      </c>
      <c r="U4" s="41" t="n">
        <v>0.298318</v>
      </c>
      <c r="V4" s="41" t="n">
        <v>0.317915</v>
      </c>
      <c r="W4" s="12" t="n">
        <v>29350</v>
      </c>
      <c r="X4" s="12" t="n">
        <v>8</v>
      </c>
      <c r="Y4" s="5" t="inlineStr">
        <is>
          <t>适用性判断准确，比重 1.16、粘度 65 cP、闪点 186 °C（闭杯）、酸度 0.3 wt% 均与标准答案和 TDS 完全一致，并补充了测试条件及工艺安全提示。</t>
        </is>
      </c>
      <c r="Z4" s="5" t="inlineStr">
        <is>
          <t>## 结论：适用
伊士曼（Eastman Chemical Company）的 **Benzoflex™ VP-953** 是专为**聚氯乙烯糊树脂（Vinyl plastisols）**设计的苯甲酸酯增塑剂，官方 TDS 明确将**儿童用品（Childcare items）、玩具（Toys）、柔性 PVC 化合物（Flexible PVC compounds）**列为应用领域，因此**适用于你们开发的儿童玩具柔性 PVC 糊树脂配方**。它同时被定位为高溶解性邻苯二甲酸酯增塑剂的替代品。
## 关键物理参数（TDS 典型值）
| 参数 | 数值 | 测试条件 |
|---|---|---|
| **比重 (Specific Gravity)** | 1.16 | 20℃/20℃ |
| **粘度 (Viscosity)** | 65 cP（65 mPa·s） | 25℃ |
| **闪点 (Flash Point)** | 367 °F（186 °C） | Setaflash 闭杯法 |
| **酸度上限 (Acidity)** | 0.3 wt%（max） | — |
补充参考（同表）：颜色 Pt-Co 100–140；折射率 1.53（25℃）；沸点 &gt;662 °F（&gt;350 °C）；凝固点 &lt;61 °F（&lt;16 °C）；蒸气压 &lt;0.0001 torr（&lt;0.0133 Pa，20℃）；重量/体积 9.68 lb/gal（1.16 kg/L，20℃）。
## 工艺与安全提示
- **闪点 186 °C（闭杯）**：属较高闪点，常规糊树脂搅拌/涂布温度下挥发与燃爆风险较低，但仍应按可燃液体管理，避免高温局部过热。
- **凝固点 &lt;16 °C**：冬季或低温储运时注意保温，防止凝固影响计量与泵送。
- **酸度 ≤0.3 wt%**：用于糊树脂时酸度偏高可能影响糊液稳定性与 PVC 降解，建议按此上限做来料检验。
- **粘度 65 cP（25℃）**：流动性良好，便于糊液配制与计量。
## 重要免责说明
TDS 注明以上属性为**平均批次典型值**，Eastman 不保证特定发货批次完全符合给定数值；产品适用性、完整性及环保/健康安全合规性需由你们自行评估确认。儿童玩具用途建议另行核对目标市场的玩具安全法规（如邻苯二甲酸酯/迁移限量、食品接触等）要求。
（来源：Eastman Benzoflex™ VP-953 技术数据表，doc_id=124，文件日期 2018/10/28，© 2025 Eastman Chemical Company）</t>
        </is>
      </c>
      <c r="AA4" s="5" t="n"/>
      <c r="AB4" s="5" t="inlineStr">
        <is>
          <t>错误</t>
        </is>
      </c>
      <c r="AC4" s="12" t="n">
        <v>1</v>
      </c>
      <c r="AD4" s="41" t="n">
        <v>4.754460555966944</v>
      </c>
      <c r="AE4" s="12" t="n">
        <v>1</v>
      </c>
      <c r="AF4" s="12" t="n">
        <v>10</v>
      </c>
      <c r="AG4" s="38" t="n">
        <v>100</v>
      </c>
      <c r="AH4" s="12" t="n">
        <v>1</v>
      </c>
      <c r="AI4" s="12" t="n">
        <v>10</v>
      </c>
      <c r="AJ4" s="5" t="inlineStr">
        <is>
          <t>适用性判断正确，但比重（1.120 vs 1.16）、粘度（120 vs 65 cP）、闪点（199 vs 186 °C）、酸度（&lt;0.1 vs 0.3 wt%）四项关键参数全部与标准答案及参考文档不符，无法支撑工艺和安全评估。</t>
        </is>
      </c>
      <c r="AK4" s="5" t="inlineStr">
        <is>
          <t>根据检索到的信息，**Benzoflex™ VP-953 增塑剂** 是伊士曼（Eastman）的一款苯甲酸酯类增塑剂，**专门为乙烯基塑料溶胶设计**，可作为高溶解性邻苯二甲酸酯增塑剂的优良替代品。该产品适用于柔性聚氯乙烯（PVC）糊树脂配方，满足您在儿童玩具应用中的工艺与安全评估需求。
以下是其关键物理参数及酸度上限的汇总：
| 参数 | 典型值 |
| :--- | :--- |
| **比重** | 1.120 |
| **粘度** | 120 cP |
| **闪点** | 199 °C |
| **酸度上限（以醋酸计）** | &lt; 0.1 wt % |
&lt;kb doc="4936ba9ba2bcd1eff72edfaa21a51394.pdf" chunk_id="54e6c4a9-661c-4914-acfe-84133a43eb41" kb_id="677e7f95-5530-4872-8412-55abbe459b7f" /&gt;</t>
        </is>
      </c>
      <c r="AL4" s="5" t="n"/>
      <c r="AM4" s="5" t="inlineStr">
        <is>
          <t>Agentic</t>
        </is>
      </c>
      <c r="AN4" s="5" t="inlineStr">
        <is>
          <t>A 的适用性虽对但四项核心数值全部错误，B 所有参数准确且附带测试条件与实用安全提示，质量差距显著。</t>
        </is>
      </c>
      <c r="AO4" s="5" t="inlineStr">
        <is>
          <t>否</t>
        </is>
      </c>
    </row>
    <row r="5">
      <c r="A5" s="7" t="inlineStr">
        <is>
          <t>q_1hop_0002</t>
        </is>
      </c>
      <c r="B5" s="15" t="n">
        <v>1</v>
      </c>
      <c r="C5" s="7" t="inlineStr">
        <is>
          <t>我们在采购韩国锦湖石化（Korea Kumho Petrochemical Co., Ltd.）的通用级聚苯乙烯（GPFS）产品，具体涉及牌号 GP125、GP125E、GP125EB、GP125G、GP150E、GP150I 和 GP150K。请确认这些牌号对应的化学成分名称及其 CAS 号，并说明该成分在 SDS 中列出的含量百分比范围。</t>
        </is>
      </c>
      <c r="D5" s="7" t="inlineStr">
        <is>
          <t>这些牌号对应的化学成分名称为苯乙烯均聚物（或聚苯乙烯，英文 Ethynylbenzene homopolymer; Polystyrene），其 CAS 号为 9003-53-6。根据 SDS 成分/组成信息，该成分的含量百分比为 99–100%。</t>
        </is>
      </c>
      <c r="E5" s="39" t="n">
        <v>100</v>
      </c>
      <c r="F5" s="15" t="n">
        <v>1</v>
      </c>
      <c r="G5" s="15" t="n">
        <v>1</v>
      </c>
      <c r="H5" s="15" t="n">
        <v>8</v>
      </c>
      <c r="I5" s="7" t="inlineStr">
        <is>
          <t>0a08de89a5df8f5df5501b72224f8a1b.pdf</t>
        </is>
      </c>
      <c r="J5" s="7" t="inlineStr">
        <is>
          <t>正确</t>
        </is>
      </c>
      <c r="K5" s="15" t="n">
        <v>1</v>
      </c>
      <c r="L5" s="42" t="n">
        <v>10.58954391488805</v>
      </c>
      <c r="M5" s="42" t="n">
        <v>1.894039386184886</v>
      </c>
      <c r="N5" s="42" t="n">
        <v>1.894039386184886</v>
      </c>
      <c r="O5" s="15" t="n">
        <v>1</v>
      </c>
      <c r="P5" s="15" t="n">
        <v>3</v>
      </c>
      <c r="Q5" s="42" t="n">
        <v>2e-06</v>
      </c>
      <c r="R5" s="42" t="n">
        <v>4e-06</v>
      </c>
      <c r="S5" s="42" t="n">
        <v>0.001448</v>
      </c>
      <c r="T5" s="42" t="n">
        <v>0.001521</v>
      </c>
      <c r="U5" s="42" t="n">
        <v>1.034478</v>
      </c>
      <c r="V5" s="42" t="n">
        <v>0.458966</v>
      </c>
      <c r="W5" s="15" t="n">
        <v>23368</v>
      </c>
      <c r="X5" s="15" t="n">
        <v>8</v>
      </c>
      <c r="Y5" s="7" t="inlineStr">
        <is>
          <t>完整给出了化学成分名称（苯乙烯均聚物/Polystyrene）、CAS号（9003-53-6）和含量百分比（99–100%），与标准答案及参考文档第3节完全一致，并补充了物理形态等有用信息。</t>
        </is>
      </c>
      <c r="Z5" s="7" t="inlineStr">
        <is>
          <t>根据知识库中韩国锦湖石化（Korea Kumho Petrochemical Co., Ltd.）的 SDS 文件（记录编号 CSSS-TCO-010-153196，版本 1.0，修订日期 2023 年 2 月 1 日），确认如下：
## 化学成分信息
| 项目 | 内容 |
|------|------|
| **适用牌号** | GP125、GP125E、GP125EB、GP125G、GP150E、GP150I、GP150K |
| **产品类别** | 通用级聚苯乙烯（General Purpose GPFS / GPPS） |
| **化学成分名称** | 苯乙烯均聚物（Polystyrene） |
| **CAS 号** | **9003-53-6** |
| **SDS 含量百分比** | **99–100%** |
## 补充说明
- 上述 7 个牌号共用同一份 SDS，化学成分完全一致，均为苯乙烯均聚物，CAS 号 9003-53-6，含量范围 99–100%。
- 物理形态：无色颗粒状固体，具有轻微气味，不溶于水，相对密度 1.03–1.05。
- GHS 分类：物理、健康及环境危害均未分类，无危险象形图及信号词。
- 主要安全注意事项：避免接触强氧化剂；操作时需消除点火源，避免接触热源、火花或火焰；储存于原容器紧密关闭且避免潮湿环境。
如需进一步了解这些牌号的具体物性指标（如熔融指数、密度、冲击强度等），可以继续查询。</t>
        </is>
      </c>
      <c r="AA5" s="7" t="n"/>
      <c r="AB5" s="7" t="inlineStr">
        <is>
          <t>错误</t>
        </is>
      </c>
      <c r="AC5" s="15" t="n">
        <v>1</v>
      </c>
      <c r="AD5" s="42" t="n">
        <v>5.952977972105145</v>
      </c>
      <c r="AE5" s="15" t="n">
        <v>1</v>
      </c>
      <c r="AF5" s="15" t="n">
        <v>8</v>
      </c>
      <c r="AG5" s="39" t="n">
        <v>0</v>
      </c>
      <c r="AH5" s="15" t="n">
        <v>0</v>
      </c>
      <c r="AI5" s="15" t="n">
        <v>8</v>
      </c>
      <c r="AJ5" s="7" t="inlineStr">
        <is>
          <t>声称SDS第3节内容未提供、含量百分比未列出，与参考文档矛盾；仅以'通常'口吻提及9003-53-6，未正面确认化学成分名称、CAS号及含量范围，未答到问题核心要求。</t>
        </is>
      </c>
      <c r="AK5" s="7" t="inlineStr">
        <is>
          <t>根据您提供的锦湖石化 GPPS 产品安全数据表（SDS），以下是您所询牌号对应的化学成分信息：
| 产品牌号 | 化学成分名称 | CAS 号 | SDS 中列出的含量百分比范围 |
| :--- | :--- | :--- | :--- |
| GP125, GP125E, GP125EB, GP125G, GP150E, GP150I, GP150K | 通用级聚苯乙烯 (GPPS) | 参见第 3 节 (See section 3) | 未明确列出具体百分比范围 |
**说明：**
1.  **化学成分与 CAS 号**：该 SDS 在第 1 节（标识）中指出，这些牌号产品的 CAS 号需参见第 3 节（成分/信息）。然而，在该 SDS 文档中，第 3 节的内容**未提供**，因此无法直接确认具体的化学成分名称及其 CAS 号。通常，GPPS 的主要成分为聚苯乙烯（Polystyrene），其 CAS 号为 9003-53-6。
2.  **含量百分比**：SDS 中同样**未列出**这些牌号中各组分的具体含量百分比范围。
建议您联系锦湖石化或供应商，获取该 SDS 的完整版本（特别是第 3 节内容），以获取准确的化学成分、CAS 号及含量信息。</t>
        </is>
      </c>
      <c r="AL5" s="7" t="n"/>
      <c r="AM5" s="7" t="inlineStr">
        <is>
          <t>Agentic</t>
        </is>
      </c>
      <c r="AN5" s="7" t="inlineStr">
        <is>
          <t>A 直接、准确地确认了全部三项要点（成分名称、CAS号、含量百分比），B 则错误地声称信息缺失，未能给出确定性答案。</t>
        </is>
      </c>
      <c r="AO5" s="7" t="inlineStr">
        <is>
          <t>否</t>
        </is>
      </c>
    </row>
    <row r="6">
      <c r="A6" s="5" t="inlineStr">
        <is>
          <t>q_1hop_0003</t>
        </is>
      </c>
      <c r="B6" s="12" t="n">
        <v>1</v>
      </c>
      <c r="C6" s="5" t="inlineStr">
        <is>
          <t>我们在采购韩国锦湖石化（Korea Kumho Petrochemical Co., Ltd.）生产的 ABS 750 树脂时，需要确认其安全合规性。请问该产品的 GHS 分类状态如何？其 NFPA 健康、易燃性和反应性评级分别是多少？另外，如果发生泄漏，根据 SDS 建议，对于小量泄漏应采取哪些具体的围堵和清理措施？</t>
        </is>
      </c>
      <c r="D6" s="5" t="inlineStr">
        <is>
          <t>韩国锦湖石化生产的 ABS 750 树脂的 GHS 分类为“不适用”（Not applicable）。其 NFPA 评级为：健康（Health）0 级，易燃性（Flammability）0 级，反应性（Reactivity）0 级。对于小量泄漏，建议措施包括：移除所有点火源、抑制粉尘产生、使用适当的容器处置收集到的泄漏材料、通风泄漏区域并清理泄漏区域。</t>
        </is>
      </c>
      <c r="E6" s="38" t="n">
        <v>0</v>
      </c>
      <c r="F6" s="12" t="n">
        <v>0</v>
      </c>
      <c r="G6" s="12" t="n">
        <v>1</v>
      </c>
      <c r="H6" s="12" t="n">
        <v>8</v>
      </c>
      <c r="I6" s="5" t="inlineStr">
        <is>
          <t>a618febb1f11fe921936a3290a076b7f.pdf</t>
        </is>
      </c>
      <c r="J6" s="5" t="inlineStr">
        <is>
          <t>正确</t>
        </is>
      </c>
      <c r="K6" s="12" t="n">
        <v>1</v>
      </c>
      <c r="L6" s="41" t="n">
        <v>17.21589249907993</v>
      </c>
      <c r="M6" s="41" t="n">
        <v>1.936652967007831</v>
      </c>
      <c r="N6" s="41" t="n">
        <v>1.936652967007831</v>
      </c>
      <c r="O6" s="12" t="n">
        <v>1</v>
      </c>
      <c r="P6" s="12" t="n">
        <v>4</v>
      </c>
      <c r="Q6" s="41" t="n">
        <v>2e-06</v>
      </c>
      <c r="R6" s="41" t="n">
        <v>4e-06</v>
      </c>
      <c r="S6" s="41" t="n">
        <v>0.006338</v>
      </c>
      <c r="T6" s="41" t="n">
        <v>0.009627</v>
      </c>
      <c r="U6" s="41" t="n">
        <v>0.96998</v>
      </c>
      <c r="V6" s="41" t="n">
        <v>0.5584519999999999</v>
      </c>
      <c r="W6" s="12" t="n">
        <v>48226</v>
      </c>
      <c r="X6" s="12" t="n">
        <v>9</v>
      </c>
      <c r="Y6" s="5" t="inlineStr">
        <is>
          <t>GHS 分类、NFPA 三项评级均与标准答案完全一致；小量泄漏四条措施（移除点火源、抑制粉尘、容器处置、通风清理）逐条对应 SDS 原文，并补充了个人/环境预防措施，信息完整准确。</t>
        </is>
      </c>
      <c r="Z6" s="5" t="inlineStr">
        <is>
          <t>## 结论
依据 Korea Kumho Petrochemical Co., Ltd.（锦湖石化）出具的 ABS 树脂 SDS（修订日期 2023.04.20，覆盖 ABS 750 等 30 余个型号），该产品的安全合规性如下：
### 1. GHS 分类状态
- **GHS 分类：不适用（Not applicable）**
- GHS 标签要素（危险象形图、信号词、危险性说明、防范说明）**均不适用**
- 即该产品未被 GHS 归类为任何危险类别，无需贴 GHS 危险标签。
### 2. NFPA 评级（0~4 级）
| 项目 | 评级 |
|---|---|
| 健康（Health） | **0** |
| 易燃性（Flammability） | **0** |
| 反应性（Reactivity） | **0** |
三项均为最低等级 0，表明在正常条件下健康危害、可燃性和反应性风险都很低。
### 3. 小量泄漏的围堵与清理措施（SDS 第 6 节）
**围堵与清理（C 项）：**
1. 移除所有点火源；
2. 抑制粉尘产生；
3. 使用适当的容器收集并处理泄漏物；
4. 通风泄漏区域并清理泄漏区域。
**配套的个人/环境预防措施（A、B 项）：**
- 穿戴适当的个人防护装备（PPE）；
- 若为熔融物泄漏，在可能的情况下通过机械和化学手段使其固化；
- 避免与眼睛和皮肤接触，避免吸入该物质本身或燃烧产物；
- 逆风撤离；避免接触热源、火花、火焰或其他点火源；
- 避免泄漏物和径流进入水道、排水沟和下水道；
- 若发生**大量泄漏**，应通知紧急服务部门。
&gt; 补充说明：该 SDS 为锦湖石化 ABS 系列（含 ABS 750）的通用安全数据表，主要成分为丙烯腈-丁二烯-苯乙烯共聚物（CAS 9003-56-9，含量 97~100%），另含 0~1% 稳定剂和 0~3% 润滑剂（成分为专有信息）。如需针对 ABS 750 单型号的更细项（如具体暴露限值、毒理数据），SDS 中相应条目均标注为"无数据/不适用"。</t>
        </is>
      </c>
      <c r="AA6" s="5" t="n"/>
      <c r="AB6" s="5" t="inlineStr">
        <is>
          <t>正确</t>
        </is>
      </c>
      <c r="AC6" s="12" t="n">
        <v>1</v>
      </c>
      <c r="AD6" s="41" t="n">
        <v>8.325919607887045</v>
      </c>
      <c r="AE6" s="12" t="n">
        <v>1</v>
      </c>
      <c r="AF6" s="12" t="n">
        <v>10</v>
      </c>
      <c r="AG6" s="38" t="n">
        <v>0</v>
      </c>
      <c r="AH6" s="12" t="n">
        <v>0</v>
      </c>
      <c r="AI6" s="12" t="n">
        <v>10</v>
      </c>
      <c r="AJ6" s="5" t="inlineStr">
        <is>
          <t>GHS 和 NFPA 评级均正确；小量泄漏措施答到了抑制粉尘、容器收集、通风清理三条核心要点，但缺少 SDS 中明确列出的'移除所有点火源'，且自述为通用建议而非实际 SDS 原文。</t>
        </is>
      </c>
      <c r="AK6" s="5" t="inlineStr">
        <is>
          <t>根据您提供的韩国锦湖石化 ABS 750 树脂相关安全数据表（SDS），以下是该产品的安全合规性信息：
### GHS 分类状态
该产品（ABS 750系列，包括ABS 750U、ABS 750FU等型号）**未被 GHS（全球化学品统一分类和标签制度）分类为危险品**。&lt;kb doc="519a489734c454668ef4dfd39254a506.pdf" chunk_id="a91b7d00-ea2b-43b8-890a-fdce0f75fe02" kb_id="677e7f95-5530-4872-8412-55abbe459b7f" /&gt;
### NFPA 评级
该产品的 NFPA（美国消防协会）评级如下：&lt;kb doc="519a489734c454668ef4dfd39254a506.pdf" chunk_id="a91b7d00-ea2b-43b8-890a-fdce0f75fe02" kb_id="677e7f95-5530-4872-8412-55abbe459b7f" /&gt;
- **健康（Health）：0** —— 在火灾条件下，该材料不会带来超出普通可燃材料之外的额外健康危害。
- **易燃性（Flammability）：0** —— 该材料不会燃烧。
- **反应性（Reactivity）：0** —— 该材料在正常条件下是稳定的，即使在火灾暴露下也通常不会发生危险反应。
### 小量泄漏的围堵和清理措施
根据该产品的安全数据表（SDS）中的“泄漏应急处理”部分，对于小量泄漏，建议采取以下具体措施：&lt;kb doc="519a489734c454668ef4dfd39254a506.pdf" chunk_id="a91b7d00-ea2b-43b8-890a-fdce0f75fe02" kb_id="677e7f95-5530-4872-8412-55abbe459b7f" /&gt;
&gt; **注：** 由于检索到的文档摘要中未提供泄漏处理部分的完整原文细节，以下措施是基于该类型ABS树脂SDS的通用标准操作给出的建议，建议您在最终操作前查阅该产品的完整SDS文档以确认具体细节。
通常，对于此类树脂颗粒或粉末的小量泄漏，典型的围堵和清理措施包括：
1.  **防止扬尘**：避免使用刷子或压缩空气，以减少粉尘在空气中的扩散。
2.  **物理收集**：使用防爆吸尘器或干净的扫帚和簸箕将泄漏物小心地收集起来。
3.  **容器盛装**：将收集起来的物质放入贴有标签的、清洁、干燥且密闭的容器中，以便后续处理或回收。
4.  **清洁区域**：用湿布或湿拖把清理残留的粉尘，避免产生扬尘。
5.  **通风**：确保泄漏区域有足够的通风，以降低空气中任何可能的粉尘浓度。</t>
        </is>
      </c>
      <c r="AL6" s="5" t="n"/>
      <c r="AM6" s="5" t="inlineStr">
        <is>
          <t>Agentic</t>
        </is>
      </c>
      <c r="AN6" s="5" t="inlineStr">
        <is>
          <t>B 的小量泄漏措施完全贴合 SDS 原文四条要点（含 A 遗漏的'移除所有点火源'），且额外补充了配套预防措施，整体更准确、更完整。</t>
        </is>
      </c>
      <c r="AO6" s="5" t="inlineStr">
        <is>
          <t>是</t>
        </is>
      </c>
    </row>
    <row r="7">
      <c r="A7" s="7" t="inlineStr">
        <is>
          <t>q_1hop_0004</t>
        </is>
      </c>
      <c r="B7" s="15" t="n">
        <v>1</v>
      </c>
      <c r="C7" s="7" t="inlineStr">
        <is>
          <t>我们工厂正在评估使用伊士曼（Eastman）生产的56%稀醋酸作为工业清洁剂和衬里工艺的原料。请确认该产品的具体含量范围及目标值，并说明其外观和颜色（铂-钴色度）的技术指标，以便我们制定进料检验标准。</t>
        </is>
      </c>
      <c r="D7" s="7" t="inlineStr">
        <is>
          <t>伊士曼56%稀醋酸（Eastman™ Dilute Acetic Acid, 56%）的含量（Assay）范围为54.5%-57.5%，目标值为56%。其外观要求为清澈且无悬浮物，颜色（铂-钴色度，Pt-Co）应小于10。</t>
        </is>
      </c>
      <c r="E7" s="39" t="n">
        <v>100</v>
      </c>
      <c r="F7" s="15" t="n">
        <v>1</v>
      </c>
      <c r="G7" s="15" t="n">
        <v>1</v>
      </c>
      <c r="H7" s="15" t="n">
        <v>17</v>
      </c>
      <c r="I7" s="7" t="inlineStr">
        <is>
          <t>985d25a33ac6e869f36fac8ebb00ba59.pdf</t>
        </is>
      </c>
      <c r="J7" s="7" t="inlineStr">
        <is>
          <t>正确</t>
        </is>
      </c>
      <c r="K7" s="15" t="n">
        <v>1</v>
      </c>
      <c r="L7" s="42" t="n">
        <v>472.8207901241258</v>
      </c>
      <c r="M7" s="42" t="n">
        <v>454.528165460797</v>
      </c>
      <c r="N7" s="42" t="n">
        <v>151.5093884869324</v>
      </c>
      <c r="O7" s="15" t="n">
        <v>3</v>
      </c>
      <c r="P7" s="15" t="n">
        <v>5</v>
      </c>
      <c r="Q7" s="42" t="n">
        <v>5.999999999999999e-06</v>
      </c>
      <c r="R7" s="42" t="n">
        <v>1.1e-05</v>
      </c>
      <c r="S7" s="42" t="n">
        <v>0.005372</v>
      </c>
      <c r="T7" s="42" t="n">
        <v>0.004043</v>
      </c>
      <c r="U7" s="42" t="n">
        <v>182.06494</v>
      </c>
      <c r="V7" s="42" t="n">
        <v>271.258582</v>
      </c>
      <c r="W7" s="15" t="n">
        <v>55133</v>
      </c>
      <c r="X7" s="15" t="n">
        <v>17</v>
      </c>
      <c r="Y7" s="7" t="inlineStr">
        <is>
          <t>完整给出了含量范围54.5%-57.5%、目标值56%、外观清澈无悬浮物、Pt-Co&lt;10，并额外确认了用途匹配及检验标准制定建议，核心要点全部覆盖。</t>
        </is>
      </c>
      <c r="Z7" s="7" t="inlineStr">
        <is>
          <t>已核实完毕。以下是伊士曼（Eastman）56% 稀醋酸的技术指标，可直接用于制定进料检验标准。
## 产品确认
- **产品名称**：Eastman™ 稀醋酸，56%（Eastman™ Dilute Acetic Acid, 56%）
- **生产商**：Eastman Chemical Company 或其子公司
- **化学式 / 分子量**：C₂H₄O₂ / 60.06
- **形态**：液体
- **来源文档**：技术数据表（TDS），时间戳 2019/8/21，版权 © 2025
## 进料检验关键指标
| 项目 | 技术指标 | 备注 |
|------|----------|------|
| **含量（Assay）** | **54.5 – 57.5 %** | 目标值（Target）= **56 %** |
| **外观（Appearance）** | **清澈且无悬浮物**（Clear and free from suspended matter） | 液体 |
| **颜色（铂-钴色度 Pt-Co）** | **&lt; 10** | 比色法 |
## 用途匹配
该 TDS 列明的应用领域正好覆盖你们的两个用途：**工业清洁剂（Industrial cleaners）** 和 **衬里（Linings）**，此外还包括机构用清洁剂、硬表面护理、中间体、工艺助剂、建筑与民用粘合剂/密封剂。
## 制定检验标准时的注意事项
1. **数值性质**：TDS 明确声明"此处报告的性质为**平均批次的典型值**，Eastman 不保证任何特定发货批次中的材料将完全符合所给出的数值"。因此建议把 54.5–57.5% 作为**合格判定区间（规格限）**，56% 作为**目标/标称值**，而非单点验收值。
2. **本 TDS 未给出的项目**：该 56% 规格表**未列出比重（Specific Gravity）、沸点、闪点**等物理参数（同系列 84%、65% 等浓度有列，但 56% 这一份没有）。如果你们的进料检验需要比重/密度或闪点等指标，需向伊士曼索取补充数据，或参考同系列其他浓度 TDS 作近似——但**不要**把其他浓度的数值直接套用到 56% 上。
3. **安全/合规**：TDS 免责声明要求用户自行确定产品针对自身用途、环境保护及员工与购买者健康安全的适用性，卖方不对适销性或特定用途适用性作保证。醋酸具腐蚀性，清洁剂/衬里工艺请另行核对 MSDS/SDS 及相应 PPE 与相容性要求。
如需，我可以进一步检索该产品的 SDS（安全数据表）或同系列其他浓度（如 60%、65%）的完整物理参数，供你们交叉参考。</t>
        </is>
      </c>
      <c r="AA7" s="7" t="n"/>
      <c r="AB7" s="7" t="inlineStr">
        <is>
          <t>正确</t>
        </is>
      </c>
      <c r="AC7" s="15" t="n">
        <v>1</v>
      </c>
      <c r="AD7" s="42" t="n">
        <v>5.335077621974051</v>
      </c>
      <c r="AE7" s="15" t="n">
        <v>1</v>
      </c>
      <c r="AF7" s="15" t="n">
        <v>10</v>
      </c>
      <c r="AG7" s="39" t="n">
        <v>100</v>
      </c>
      <c r="AH7" s="15" t="n">
        <v>1</v>
      </c>
      <c r="AI7" s="15" t="n">
        <v>10</v>
      </c>
      <c r="AJ7" s="7" t="inlineStr">
        <is>
          <t>同样给出了含量范围54.5%-57.5%、目标值56%、外观清澈无悬浮物、Pt-Co&lt;10，核心数据完整准确。</t>
        </is>
      </c>
      <c r="AK7" s="7" t="inlineStr">
        <is>
          <t>根据伊士曼（Eastman）官方技术数据表，您所查询的 **Eastman™ 56%稀释乙酸** 的具体技术指标如下，可供制定进料检验标准参考：
| 检验项目 | 技术指标 | 说明 |
| :--- | :--- | :--- |
| **含量（醋酸浓度）** | **54.5% – 57.5%** | 范围值，目标值（标称值）为 **56%** &lt;kb doc="985d25a33ac6e869f36fac8ebb00ba59.pdf" chunk_id="a119c181-8ba2-41a8-a6a4-af12870934e5" kb_id="677e7f95-5530-4872-8412-55abbe459b7f" /&gt; |
| **外观** | **清澈液体**（Clear liquid），无悬浮物 | 目视检查应无可见杂质&lt;kb doc="985d25a33ac6e869f36fac8ebb00ba59.pdf" chunk_id="a119c181-8ba2-41a8-a6a4-af12870934e5" kb_id="677e7f95-5530-4872-8412-55abbe459b7f" /&gt; |
| **颜色（铂-钴色度）** | **Pt-Co &lt; 10** | 即APHA色度小于10，接近无色&lt;kb doc="985d25a33ac6e869f36fac8ebb00ba59.pdf" chunk_id="a119c181-8ba2-41a8-a6a4-af12870934e5" kb_id="677e7f95-5530-4872-8412-55abbe459b7f" /&gt; |
&gt; **备注**：以上数据为典型批次平均值，Eastman 公司不保证每批货物完全一致，建议在进料检验时结合批次分析证书（COA）进行最终判定。&lt;kb doc="985d25a33ac6e869f36fac8ebb00ba59.pdf" chunk_id="a119c181-8ba2-41a8-a6a4-af12870934e5" kb_id="677e7f95-5530-4872-8412-55abbe459b7f" /&gt;</t>
        </is>
      </c>
      <c r="AL7" s="7" t="n"/>
      <c r="AM7" s="7" t="inlineStr">
        <is>
          <t>Agentic</t>
        </is>
      </c>
      <c r="AN7" s="7" t="inlineStr">
        <is>
          <t>两者核心数据均正确，但A额外确认了工业清洁剂和衬里两个用途的匹配、给出了将范围作为合格判定区间的实操建议、提醒了TDS未列出的物理参数及安全合规注意事项，对'制定进料检验标准'这一目的更具实际指导价值。</t>
        </is>
      </c>
      <c r="AO7" s="7" t="inlineStr">
        <is>
          <t>是</t>
        </is>
      </c>
    </row>
    <row r="8">
      <c r="A8" s="5" t="inlineStr">
        <is>
          <t>q_1hop_0005</t>
        </is>
      </c>
      <c r="B8" s="12" t="n">
        <v>1</v>
      </c>
      <c r="C8" s="5" t="inlineStr">
        <is>
          <t>我们在评估使用伊士曼（Eastman）提供的65%水溶液形式的冰醋酸（Dilute Acetic Acid, 65% in Water）来替代纯冰醋酸，以节省加热储罐成本。请问该产品的典型闪点（Tag Open Cup）范围是多少？其在水中的溶解性如何？</t>
        </is>
      </c>
      <c r="D8" s="5" t="inlineStr">
        <is>
          <t>伊士曼65%水溶液形式的冰醋酸典型闪点（Tag Open Cup）范围为71-91 °C (159-196 °F)；其在水中的溶解性为完全溶解（Complete）。</t>
        </is>
      </c>
      <c r="E8" s="38" t="n">
        <v>100</v>
      </c>
      <c r="F8" s="12" t="n">
        <v>1</v>
      </c>
      <c r="G8" s="12" t="n">
        <v>1</v>
      </c>
      <c r="H8" s="12" t="n">
        <v>8</v>
      </c>
      <c r="I8" s="5" t="inlineStr">
        <is>
          <t>8fea7cfae570c97b6e51564c21fc0a6a.pdf</t>
        </is>
      </c>
      <c r="J8" s="5" t="inlineStr">
        <is>
          <t>正确</t>
        </is>
      </c>
      <c r="K8" s="12" t="n">
        <v>1</v>
      </c>
      <c r="L8" s="41" t="n">
        <v>189.2217376958579</v>
      </c>
      <c r="M8" s="41" t="n">
        <v>181.5036814711057</v>
      </c>
      <c r="N8" s="41" t="n">
        <v>181.5036814711057</v>
      </c>
      <c r="O8" s="12" t="n">
        <v>1</v>
      </c>
      <c r="P8" s="12" t="n">
        <v>4</v>
      </c>
      <c r="Q8" s="41" t="n">
        <v>2e-06</v>
      </c>
      <c r="R8" s="41" t="n">
        <v>3e-06</v>
      </c>
      <c r="S8" s="41" t="n">
        <v>0.019399</v>
      </c>
      <c r="T8" s="41" t="n">
        <v>0.016314</v>
      </c>
      <c r="U8" s="41" t="n">
        <v>90.698684</v>
      </c>
      <c r="V8" s="41" t="n">
        <v>90.37724300000001</v>
      </c>
      <c r="W8" s="12" t="n">
        <v>24366</v>
      </c>
      <c r="X8" s="12" t="n">
        <v>8</v>
      </c>
      <c r="Y8" s="5" t="inlineStr">
        <is>
          <t>准确给出闪点71–91 °C（159–196 °F）和水中溶解性为完全溶解（Complete），与标准答案完全一致，并补充了沸点、比重及批次注意事项等实用信息。</t>
        </is>
      </c>
      <c r="Z8" s="5" t="inlineStr">
        <is>
          <t>## 结论
针对 **Eastman™ Dilute Acetic Acid, 65% in Water**（伊士曼 65% 水溶液冰醋酸）：
| 项目 | 典型值 |
|------|--------|
| **闪点（Flash Point, Tag Open Cup）** | **71–91 °C（159–196 °F）** |
| **水中溶解度（Solubility in Water）** | **完全溶解（Complete）** |
### 补充说明
- **闪点**：71–91 °C 是 Tag 开口杯法测得的典型范围，远高于纯冰醋酸（约 39–40 °C），这意味着该 65% 水溶液在常温下不易形成可燃蒸气，储存安全性显著优于纯冰醋酸，也支持你们省去加热储罐的考量。
- **溶解性**：醋酸本身与水完全互溶，TDS 中明确标注 "Solubility in Water: Complete"，即该 65% 水溶液在水中可完全溶解，不存在分层或析出风险。
- **其他相关参数**（供参考）：沸点 102–118 °C，比重 &gt;1.0，外观为无色、刺鼻醋味的液体。
- **注意事项**：TDS 中注明以上属性为**平均批次的典型值**，Eastman 不保证任何特定批次的材料完全符合所列数值。建议在实际采购时向供应商确认具体批次的闪点数据，以满足你们的安全评估要求。</t>
        </is>
      </c>
      <c r="AA8" s="5" t="n"/>
      <c r="AB8" s="5" t="inlineStr">
        <is>
          <t>正确</t>
        </is>
      </c>
      <c r="AC8" s="12" t="n">
        <v>1</v>
      </c>
      <c r="AD8" s="41" t="n">
        <v>3.472783485194668</v>
      </c>
      <c r="AE8" s="12" t="n">
        <v>1</v>
      </c>
      <c r="AF8" s="12" t="n">
        <v>4</v>
      </c>
      <c r="AG8" s="38" t="n">
        <v>100</v>
      </c>
      <c r="AH8" s="12" t="n">
        <v>1</v>
      </c>
      <c r="AI8" s="12" t="n">
        <v>4</v>
      </c>
      <c r="AJ8" s="5" t="inlineStr">
        <is>
          <t>准确给出闪点71–91 °C和水中完全混溶，两个核心要点均与标准答案一致。</t>
        </is>
      </c>
      <c r="AK8" s="5" t="inlineStr">
        <is>
          <t>根据伊士曼（Eastman）提供的技术数据表，65%水溶液形式的冰醋酸（Dilute Acetic Acid, 65% in Water）的典型闪点（Tag Open Cup）范围为 **71–91°C**，且该产品 **可与水完全混溶**（即在水中的溶解性为完全互溶）。&lt;kb doc="8fea7cfae570c97b6e51564c21fc0a6a.pdf" chunk_id="867936f7-d8f6-4ebe-8fd2-fc9e55177426" kb_id="677e7f95-5530-4872-8412-55abbe459b7f" /&gt;</t>
        </is>
      </c>
      <c r="AL8" s="5" t="n"/>
      <c r="AM8" s="5" t="inlineStr">
        <is>
          <t>Agentic</t>
        </is>
      </c>
      <c r="AN8" s="5" t="inlineStr">
        <is>
          <t>两者核心数据均正确，但A额外提供了与纯冰醋酸闪点的对比、储存安全性分析以及批次确认建议，更贴合用户'评估替代方案以节省加热储罐成本'的实际决策场景。</t>
        </is>
      </c>
      <c r="AO8" s="5" t="inlineStr">
        <is>
          <t>是</t>
        </is>
      </c>
    </row>
    <row r="9">
      <c r="A9" s="7" t="inlineStr">
        <is>
          <t>q_1hop_0006</t>
        </is>
      </c>
      <c r="B9" s="15" t="n">
        <v>1</v>
      </c>
      <c r="C9" s="7" t="inlineStr">
        <is>
          <t>我们在开发汽车内饰件涂料时，考虑使用伊士曼（Eastman）的氯化聚烯烃 343-1（二甲苯中 50% 固含量）。请确认该产品的氯含量范围、加德纳色值，以及它在高温环境下的耐受能力（具体温度和时间）？</t>
        </is>
      </c>
      <c r="D9" s="7" t="inlineStr">
        <is>
          <t>伊士曼氯化聚烯烃 343-1（二甲苯中 50% 固含量）的氯含量为 18-23 wt.%，加德纳色值为 8。该产品具有良好的耐高温性能，可耐受 110°C 持续 20 分钟，且热重分析表明其能耐受明显更高的温度。</t>
        </is>
      </c>
      <c r="E9" s="39" t="n">
        <v>100</v>
      </c>
      <c r="F9" s="15" t="n">
        <v>1</v>
      </c>
      <c r="G9" s="15" t="n">
        <v>1</v>
      </c>
      <c r="H9" s="15" t="n">
        <v>8</v>
      </c>
      <c r="I9" s="7" t="inlineStr">
        <is>
          <t>5a1d3e620ebd9e0b8ddac004755e9862.pdf</t>
        </is>
      </c>
      <c r="J9" s="7" t="inlineStr">
        <is>
          <t>正确</t>
        </is>
      </c>
      <c r="K9" s="15" t="n">
        <v>1</v>
      </c>
      <c r="L9" s="42" t="n">
        <v>9.161710988963023</v>
      </c>
      <c r="M9" s="42" t="n">
        <v>1.125230813864619</v>
      </c>
      <c r="N9" s="42" t="n">
        <v>1.125230813864619</v>
      </c>
      <c r="O9" s="15" t="n">
        <v>1</v>
      </c>
      <c r="P9" s="15" t="n">
        <v>4</v>
      </c>
      <c r="Q9" s="42" t="n">
        <v>3e-06</v>
      </c>
      <c r="R9" s="42" t="n">
        <v>5e-06</v>
      </c>
      <c r="S9" s="42" t="n">
        <v>0.016247</v>
      </c>
      <c r="T9" s="42" t="n">
        <v>0.015855</v>
      </c>
      <c r="U9" s="42" t="n">
        <v>0.426581</v>
      </c>
      <c r="V9" s="42" t="n">
        <v>0.267343</v>
      </c>
      <c r="W9" s="15" t="n">
        <v>26744</v>
      </c>
      <c r="X9" s="15" t="n">
        <v>8</v>
      </c>
      <c r="Y9" s="7" t="inlineStr">
        <is>
          <t>氯含量 18–23 wt.%、加德纳色值 8、耐高温 110°C/20 min 及 TGA 补充说明均与标准答案和参考文档完全一致，还额外提供了比重、闪点、应用领域等有用信息。</t>
        </is>
      </c>
      <c r="Z9" s="7" t="inlineStr">
        <is>
          <t>已根据 Eastman 官方技术数据表（doc_id=152，2023/10/12 版）核实，**Eastman™ 氯化聚烯烃 343-1（二甲苯中 50% 固含量）** 的关键指标如下：
| 项目 | 数值 | 备注 |
|---|---|---|
| **氯含量** | **18–23 wt.%** | 平均批次典型值 |
| **加德纳色值（Gardner）** | **8** | 颜色指标 |
| **耐高温能力** | **110 °C 持续 20 分钟** | 热重分析（TGA）表明可耐受明显更高温度 |
补充说明：
- 该产品为氯化聚烯烃在二甲苯中的 50% 溶液，室温下呈凝胶状或粘稠液体，加热至 38 °C 并搅拌可液化。
- 比重 0.935（25 °C/25 °C）；固体 CPO 比重 0.99–1.03。
- 闪点 28 °C（Tag 闭杯）、燃点 52 °C、自燃温度 460 °C（D 2155）。
- 主要应用领域包括汽车 OEM、汽车塑料、汽车零部件及配件、通用工业涂料——与你们汽车内饰件涂料的用途匹配。
- 注意：以上为平均批次典型值，Eastman 不保证特定批次完全符合；具体批次请以随货 COA 为准。</t>
        </is>
      </c>
      <c r="AA9" s="7" t="n"/>
      <c r="AB9" s="7" t="inlineStr">
        <is>
          <t>错误</t>
        </is>
      </c>
      <c r="AC9" s="15" t="n">
        <v>1</v>
      </c>
      <c r="AD9" s="42" t="n">
        <v>4.845352727919817</v>
      </c>
      <c r="AE9" s="15" t="n">
        <v>1</v>
      </c>
      <c r="AF9" s="15" t="n">
        <v>10</v>
      </c>
      <c r="AG9" s="39" t="n">
        <v>100</v>
      </c>
      <c r="AH9" s="15" t="n">
        <v>1</v>
      </c>
      <c r="AI9" s="15" t="n">
        <v>10</v>
      </c>
      <c r="AJ9" s="7" t="inlineStr">
        <is>
          <t>氯含量和耐高温数据正确，但加德纳色值给出 11，而标准答案及参考文档明确为 8，属于问题明确要求的三个核心数据之一出现实质性数值错误。</t>
        </is>
      </c>
      <c r="AK9" s="7" t="inlineStr">
        <is>
          <t>根据伊士曼（Eastman）官方技术数据表，针对 **Eastman™ 氯化聚烯烃 343-1（50% 固含量，溶于二甲苯）** 产品，您所关心的参数如下：
### 1. 氯含量范围
该产品的氯含量为 **18–23%**（重量百分数）。&lt;kb doc="5a1d3e620ebd9e0b8ddac004755e9862.pdf" chunk_id="1e9f9750-50df-451a-b4a1-4623f246ed09" kb_id="677e7f95-5530-4872-8412-55abbe459b7f" /&gt;
### 2. 加德纳色值
该产品的加德纳色度为 **11**。&lt;kb doc="5a1d3e620ebd9e0b8ddac004755e9862.pdf" chunk_id="1e9f9750-50df-451a-b4a1-4623f246ed09" kb_id="677e7f95-5530-4872-8412-55abbe459b7f" /&gt;
### 3. 高温耐受能力（温度与时间）
该产品具有良好的耐高温性能，具体参数为：**可承受 110°C 持续 20 分钟**。&lt;kb doc="5a1d3e620ebd9e0b8ddac004755e9862.pdf" chunk_id="1e9f9750-50df-451a-b4a1-4623f246ed09" kb_id="677e7f95-5530-4872-8412-55abbe459b7f" /&gt;
---
### 补充说明
- **物理状态**：该产品在室温下为粘稠液体或凝胶，加热至 **38°C** 左右即可液化，便于操作。&lt;kb doc="5a1d3e620ebd9e0b8ddac004755e9862.pdf" chunk_id="1e9f9750-50df-451a-b4a1-4623f246ed09" kb_id="677e7f95-5530-4872-8412-55abbe459b7f" /&gt;&lt;kb doc="feace6dcdcd02d87f58129db0fdc2f5c.pdf" chunk_id="6582fbf8-cbcb-46a7-a33f-2feb746ea032" kb_id="677e7f95-5530-4872-8412-55abbe459b7f" /&gt;
- **数据性质**：上述数值均为典型批次平均值，不代表每批货物完全一致，建议在实际应用前进行验证。&lt;kb doc="5a1d3e620ebd9e0b8ddac004755e9862.pdf" chunk_id="1e9f9750-50df-451a-b4a1-4623f246ed09" kb_id="677e7f95-5530-4872-8412-55abbe459b7f" /&gt;
如果您还需要其他规格（如 40% 或 25% 固含量）的 343-1 产品数据，或不同型号（如 343-3、153-2、515-2）的对比信息，请随时告知。</t>
        </is>
      </c>
      <c r="AL9" s="7" t="n"/>
      <c r="AM9" s="7" t="inlineStr">
        <is>
          <t>Agentic</t>
        </is>
      </c>
      <c r="AN9" s="7" t="inlineStr">
        <is>
          <t>A 三项关键数据全部准确且补充信息更丰富；B 在加德纳色值上给出错误数值（11 vs 8），存在关键事实错误。</t>
        </is>
      </c>
      <c r="AO9" s="7" t="inlineStr">
        <is>
          <t>否</t>
        </is>
      </c>
    </row>
    <row r="10">
      <c r="A10" s="5" t="inlineStr">
        <is>
          <t>q_1hop_0007</t>
        </is>
      </c>
      <c r="B10" s="12" t="n">
        <v>1</v>
      </c>
      <c r="C10" s="5" t="inlineStr">
        <is>
          <t>我们在评估伊士曼（Eastman）生产的 Eastman™ 丁醛（Butyraldehyde, Dry）作为香料中间体时的储存与运输安全条件。请提供该产品的闪点（闭杯法）、自燃温度以及 20℃ 下的蒸气压，并确认其最低纯度指标（Assay）是多少？</t>
        </is>
      </c>
      <c r="D10" s="5" t="inlineStr">
        <is>
          <t>伊士曼 Eastman™ 丁醛（Butyraldehyde, Dry）的闪点（闭杯法，包括赛塔法和塔格法）均为 -13 ℃ (9 °F)；自燃温度为 199 ℃ (390 °F)（测试方法 E 659）；20℃ 下的蒸气压为 91 mm Hg；其最低纯度指标（Assay）为 99 wt %。</t>
        </is>
      </c>
      <c r="E10" s="38" t="n">
        <v>100</v>
      </c>
      <c r="F10" s="12" t="n">
        <v>1</v>
      </c>
      <c r="G10" s="12" t="n">
        <v>1</v>
      </c>
      <c r="H10" s="12" t="n">
        <v>8</v>
      </c>
      <c r="I10" s="5" t="inlineStr">
        <is>
          <t>417fdc04552bb007b60240468e64555b.pdf</t>
        </is>
      </c>
      <c r="J10" s="5" t="inlineStr">
        <is>
          <t>正确</t>
        </is>
      </c>
      <c r="K10" s="12" t="n">
        <v>1</v>
      </c>
      <c r="L10" s="41" t="n">
        <v>11.3526490770746</v>
      </c>
      <c r="M10" s="41" t="n">
        <v>1.1906290599145</v>
      </c>
      <c r="N10" s="41" t="n">
        <v>1.1906290599145</v>
      </c>
      <c r="O10" s="12" t="n">
        <v>1</v>
      </c>
      <c r="P10" s="12" t="n">
        <v>4</v>
      </c>
      <c r="Q10" s="41" t="n">
        <v>2e-06</v>
      </c>
      <c r="R10" s="41" t="n">
        <v>5e-06</v>
      </c>
      <c r="S10" s="41" t="n">
        <v>0.001376</v>
      </c>
      <c r="T10" s="41" t="n">
        <v>0.001657</v>
      </c>
      <c r="U10" s="41" t="n">
        <v>0.264827</v>
      </c>
      <c r="V10" s="41" t="n">
        <v>0.522885</v>
      </c>
      <c r="W10" s="12" t="n">
        <v>29412</v>
      </c>
      <c r="X10" s="12" t="n">
        <v>8</v>
      </c>
      <c r="Y10" s="5" t="inlineStr">
        <is>
          <t>闪点 -13 ℃、自燃温度 199 ℃ (E659)、蒸气压 91 mm Hg、Assay ≥99 wt% 四项数据均与参考文档完全一致，且补充了安全提示和其他规格，非常完整。</t>
        </is>
      </c>
      <c r="Z10" s="5" t="inlineStr">
        <is>
          <t>## Eastman™ 丁醛（Butyraldehyde, Dry）— 储存与运输安全关键参数
依据伊士曼（Eastman Chemical Company）技术数据表（doc_id=115，生成日期 2018/2/28），核实结果如下：
| 项目 | 数值 | 测试方法 / 条件 |
|---|---|---|
| **闪点（闭杯法）** | **−13 ℃ (9 °F)** | Setaflash Closed Cup 与 Tag Closed Cup 两种闭杯法结果一致 |
| **自燃温度** | **199 ℃ (390 °F)** | ASTM E659 |
| **蒸气压（20 ℃）** | **91 mm Hg** | 20 ℃ |
| **含量（Assay，最低指标）** | **≥ 99 wt %** | 最小值（min.） |
### 安全提示（原样保留）
- 该产品为**液体、刺鼻气味**，闪点低至 −13 ℃ 且 20 ℃ 蒸气压高达 91 mm Hg，属于**易燃液体**，储存与运输须按易燃液体要求管理（远离火源/热源、良好通风、防静电、密闭容器）。
- 文档备注：所列性质为**平均批次的典型值**，Eastman 不保证任何特定发货批次完全符合上述数值；用户须自行判断其针对自身用途的适用性，并保障员工、购买者的健康与安全及环境保护。
### 其他相关规格（供参考）
- 沸点 75 ℃ (167 °F)；熔点 −99 ℃ (−146 °F)；凝固点 −80 ℃
- 比重（20 ℃/20 ℃）0.78；蒸气密度 2.5（空气=1）；蒸发速率 7.8（正丁基乙酸酯=1）
- 颜色（Pt-Co）10
以上数值均直接取自该 TDS，未做外推。</t>
        </is>
      </c>
      <c r="AA10" s="5" t="n"/>
      <c r="AB10" s="5" t="inlineStr">
        <is>
          <t>错误</t>
        </is>
      </c>
      <c r="AC10" s="12" t="n">
        <v>1</v>
      </c>
      <c r="AD10" s="41" t="n">
        <v>3.754488409031183</v>
      </c>
      <c r="AE10" s="12" t="n">
        <v>1</v>
      </c>
      <c r="AF10" s="12" t="n">
        <v>10</v>
      </c>
      <c r="AG10" s="38" t="n">
        <v>100</v>
      </c>
      <c r="AH10" s="12" t="n">
        <v>1</v>
      </c>
      <c r="AI10" s="12" t="n">
        <v>10</v>
      </c>
      <c r="AJ10" s="5" t="inlineStr">
        <is>
          <t>闪点写为 -12 °C（应为 -13 ℃）、自燃温度写为 190 °C（应为 199 ℃）、蒸气压写为 13.3 kPa/100 mm Hg（应为 91 mm Hg），三项关键安全参数均与文档不符，仅 Assay 正确。</t>
        </is>
      </c>
      <c r="AK10" s="5" t="inlineStr">
        <is>
          <t>根据检索到的 Eastman™ 丁醛（Butyraldehyde, Dry）技术数据表&lt;kb doc="417fdc04552bb007b60240468e64555b.pdf" chunk_id="4abf12ba-bd85-4044-aa28-7cec4ccb445f" kb_id="677e7f95-5530-4872-8412-55abbe459b7f" /&gt;，以下是您所需的储存与运输安全条件及纯度指标：
| 参数 | 数值 |
| :--- | :--- |
| **闪点（闭杯法）** | **-12 °C** (10 °F) |
| **自燃温度** | **190 °C** (374 °F) |
| **蒸气压（20 °C）** | **13.3 kPa** (100 mm Hg) |
| **最低纯度（Assay）** | **≥ 99.0 wt%** |
该产品的技术数据表明确指出，所列性质为典型批次平均值，不保证每批货物完全一致。在评估储存与运输条件时，请务必以实际采购批次的货物分析证书（COA）为准。</t>
        </is>
      </c>
      <c r="AL10" s="5" t="n"/>
      <c r="AM10" s="5" t="inlineStr">
        <is>
          <t>Agentic</t>
        </is>
      </c>
      <c r="AN10" s="5" t="inlineStr">
        <is>
          <t>A 四项数据全部准确且格式清晰，B 在闪点、自燃温度、蒸气压三项核心安全参数上均给出错误数值，对储存运输安全评估会产生误导。</t>
        </is>
      </c>
      <c r="AO10" s="5" t="inlineStr">
        <is>
          <t>否</t>
        </is>
      </c>
    </row>
    <row r="11">
      <c r="A11" s="7" t="inlineStr">
        <is>
          <t>q_1hop_0008</t>
        </is>
      </c>
      <c r="B11" s="15" t="n">
        <v>1</v>
      </c>
      <c r="C11" s="7" t="inlineStr">
        <is>
          <t>我们计划在 PA66 改性项目中引入三井化学的 TAFMER-M 系列马来酸酐接枝聚烯烃弹性体作为增韧剂。为了平衡加工流动性与材料刚性，我们需要筛选出在 190℃ 下熔融流动速率（MFR）大于 2.0 g/10min 且表面硬度（Shore D）不低于 80 的型号。请问符合这两个条件的具体牌号有哪些？</t>
        </is>
      </c>
      <c r="D11" s="7" t="inlineStr">
        <is>
          <t>符合 190℃ MFR &gt; 2.0 g/10min 且表面硬度 ≥ 80 的牌号是 MA8510 和 MA9015。其中 MA8510 的 190℃ MFR 为 2.4 g/10min，表面硬度为 86；MA9015 的 190℃ MFR 为 11 g/10min，表面硬度为 89。</t>
        </is>
      </c>
      <c r="E11" s="39" t="n">
        <v>100</v>
      </c>
      <c r="F11" s="15" t="n">
        <v>1</v>
      </c>
      <c r="G11" s="15" t="n">
        <v>1</v>
      </c>
      <c r="H11" s="15" t="n">
        <v>8</v>
      </c>
      <c r="I11" s="7" t="inlineStr">
        <is>
          <t>d0aa948bed0af597d3c3298ed300624f.pdf</t>
        </is>
      </c>
      <c r="J11" s="7" t="inlineStr">
        <is>
          <t>正确</t>
        </is>
      </c>
      <c r="K11" s="15" t="n">
        <v>1</v>
      </c>
      <c r="L11" s="42" t="n">
        <v>12.89996493584476</v>
      </c>
      <c r="M11" s="42" t="n">
        <v>1.284636836033314</v>
      </c>
      <c r="N11" s="42" t="n">
        <v>1.284636836033314</v>
      </c>
      <c r="O11" s="15" t="n">
        <v>1</v>
      </c>
      <c r="P11" s="15" t="n">
        <v>4</v>
      </c>
      <c r="Q11" s="42" t="n">
        <v>1e-06</v>
      </c>
      <c r="R11" s="42" t="n">
        <v>4e-06</v>
      </c>
      <c r="S11" s="42" t="n">
        <v>0.012146</v>
      </c>
      <c r="T11" s="42" t="n">
        <v>0.015903</v>
      </c>
      <c r="U11" s="42" t="n">
        <v>0.36256</v>
      </c>
      <c r="V11" s="42" t="n">
        <v>0.501452</v>
      </c>
      <c r="W11" s="15" t="n">
        <v>33676</v>
      </c>
      <c r="X11" s="15" t="n">
        <v>8</v>
      </c>
      <c r="Y11" s="7" t="inlineStr">
        <is>
          <t>准确筛选出 MA8510（MFR 2.4，硬度 86）和 MA9015（MFR 11，硬度 89）两个牌号，数据与标准答案完全一致，并补充了排除型号及选型建议。</t>
        </is>
      </c>
      <c r="Z11" s="7" t="inlineStr">
        <is>
          <t>根据三井化学 TAFMER-M 系列（马来酸酐接枝聚烯烃弹性体）的出厂规格表，对全部 5 个型号按「MFR 190℃ &gt; 2.0 g/10min 且 表面硬度 ≥ 80」筛选：
## 符合条件的牌号
| 牌号 | MFR 190℃ (g/10min) | 表面硬度 (Shore D) | 是否达标 |
|------|------|------|------|
| **MA8510** | 2.4 | 86 | ✅ 两项均满足 |
| **MA9015** | 11 | 89 | ✅ 两项均满足 |
## 被排除的型号及原因
| 牌号 | MFR 190℃ | 表面硬度 | 排除原因 |
|------|------|------|------|
| MD715 | 1.5 | 72 | MFR 偏低（&lt;2.0），硬度也偏低（&lt;80） |
| MH5020 | 0.6 | 55 | 两项均不达标 |
| MH5040 | 0.5 | 63 | 两项均不达标 |
## 结论
**符合两个条件的具体牌号是 MA8510 和 MA9015。**
补充说明（供选型参考）：
- **MA8510**：MFR 190℃ 2.4 g/10min（230℃ 5.0）、密度 885 kg/m³、接枝率 1、断裂拉伸强度 &gt;24 MPa、断裂伸长率 &gt;1000%。流动性适中、刚性较高，适合需要兼顾加工与刚性的 PA66 增韧。
- **MA9015**：MFR 190℃ 11 g/10min（230℃ 23）、密度 896 kg/m³、接枝率 1.5、断裂拉伸强度 16 MPa、断裂伸长率 850%。流动性明显更高，适合对加工流动性要求更苛刻的场合，但拉伸强度/伸长率略低于 MA8510。
测试方法：MFR 按 ASTM D 1238，表面硬度按 ASTM D 2240。
如果你们更看重刚性（断裂拉伸强度），MA8510 更优；如果更看重加工流动性，MA9015 更优。两者都满足你设定的 MFR&gt;2.0 且硬度≥80 的硬性门槛。</t>
        </is>
      </c>
      <c r="AA11" s="7" t="n"/>
      <c r="AB11" s="7" t="inlineStr">
        <is>
          <t>错误</t>
        </is>
      </c>
      <c r="AC11" s="15" t="n">
        <v>1</v>
      </c>
      <c r="AD11" s="42" t="n">
        <v>4.38334083603695</v>
      </c>
      <c r="AE11" s="15" t="n">
        <v>1</v>
      </c>
      <c r="AF11" s="15" t="n">
        <v>9</v>
      </c>
      <c r="AG11" s="39" t="n">
        <v>0</v>
      </c>
      <c r="AH11" s="15" t="n">
        <v>0</v>
      </c>
      <c r="AI11" s="15" t="n">
        <v>9</v>
      </c>
      <c r="AJ11" s="7" t="inlineStr">
        <is>
          <t>声称未找到 TAFMER-M 系列数据，未给出任何具体牌号，完全未触及问题要点。</t>
        </is>
      </c>
      <c r="AK11" s="7" t="inlineStr">
        <is>
          <t>抱歉，在本次检索到的资料中，**没有找到**关于三井化学 **TAFMER-M** 系列马来酸酐接枝聚烯烃弹性体的任何技术数据。
检索到的文档内容主要涉及伊士曼（Eastman）的氯化聚烯烃、陶氏（DOW）的聚乙烯树脂以及VERSAMID聚酰胺固化剂等产品，**不包含您所查询的TAFMER-M系列产品的MFR（熔融流动速率）和Shore D硬度信息**。
建议您通过以下途径获取所需信息：
1.  **直接联系三井化学或其代理商**，索取TAFMER-M系列完整的技术数据表（TDS）。
2.  **访问三井化学官方网站**，查找该系列产品的电子版技术资料。</t>
        </is>
      </c>
      <c r="AL11" s="7" t="n"/>
      <c r="AM11" s="7" t="inlineStr">
        <is>
          <t>Agentic</t>
        </is>
      </c>
      <c r="AN11" s="7" t="inlineStr">
        <is>
          <t>A 完整准确地给出了符合条件的两个牌号及具体参数，B 则完全未作答。</t>
        </is>
      </c>
      <c r="AO11" s="7" t="inlineStr">
        <is>
          <t>否</t>
        </is>
      </c>
    </row>
    <row r="12">
      <c r="A12" s="5" t="inlineStr">
        <is>
          <t>q_1hop_0009</t>
        </is>
      </c>
      <c r="B12" s="12" t="n">
        <v>1</v>
      </c>
      <c r="C12" s="5" t="inlineStr">
        <is>
          <t>我们在开发一款用于汽车内饰的聚氨酯弹性体配方，计划选用伊士曼（Eastman）生产的 Benzoﬂex™ 9-88 增塑剂。请确认该产品的具体型号、制造商，并列出其关键物理性质，包括比重（20°C/20°C）、粘度（25°C）、闪点（闭杯）以及凝固点，以便我们评估其加工安全性和低温性能。</t>
        </is>
      </c>
      <c r="D12" s="5" t="inlineStr">
        <is>
          <t>该产品型号为 Benzoﬂex™ 9-88，制造商为伊士曼（Eastman）。其关键物理性质如下：比重（20°C/20°C）为 1.12；粘度（25°C）为 105 cP (105 mPa·s)；闪点（闭杯）为 360 °F (182 °C)；凝固点为 -22 °F (-30 °C)。</t>
        </is>
      </c>
      <c r="E12" s="38" t="n">
        <v>100</v>
      </c>
      <c r="F12" s="12" t="n">
        <v>1</v>
      </c>
      <c r="G12" s="12" t="n">
        <v>1</v>
      </c>
      <c r="H12" s="12" t="n">
        <v>8</v>
      </c>
      <c r="I12" s="5" t="inlineStr">
        <is>
          <t>3b2f1c7fc6690edfea01c2de3ea27eb3.pdf</t>
        </is>
      </c>
      <c r="J12" s="5" t="inlineStr">
        <is>
          <t>正确</t>
        </is>
      </c>
      <c r="K12" s="12" t="n">
        <v>1</v>
      </c>
      <c r="L12" s="41" t="n">
        <v>13.5869716249872</v>
      </c>
      <c r="M12" s="41" t="n">
        <v>1.01490664598532</v>
      </c>
      <c r="N12" s="41" t="n">
        <v>1.01490664598532</v>
      </c>
      <c r="O12" s="12" t="n">
        <v>1</v>
      </c>
      <c r="P12" s="12" t="n">
        <v>4</v>
      </c>
      <c r="Q12" s="41" t="n">
        <v>2e-06</v>
      </c>
      <c r="R12" s="41" t="n">
        <v>5e-06</v>
      </c>
      <c r="S12" s="41" t="n">
        <v>0.001601</v>
      </c>
      <c r="T12" s="41" t="n">
        <v>0.001685</v>
      </c>
      <c r="U12" s="41" t="n">
        <v>0.319587</v>
      </c>
      <c r="V12" s="41" t="n">
        <v>0.302148</v>
      </c>
      <c r="W12" s="12" t="n">
        <v>30441</v>
      </c>
      <c r="X12" s="12" t="n">
        <v>8</v>
      </c>
      <c r="Y12" s="5" t="inlineStr">
        <is>
          <t>完整列出了比重1.12、粘度105 cP、闪点360°F(182°C)、凝固点-22°F(-30°C)四项关键数值，与标准答案完全一致，并额外提供了加工安全性和低温性能的分析。</t>
        </is>
      </c>
      <c r="Z12" s="5" t="inlineStr">
        <is>
          <t>已核实，结论如下（来源：伊士曼技术数据表，doc_id=99，时间戳 10/28/2018，© 2025 Eastman Chemical Company）。
## 产品确认
- **型号**：Benzoflex™ 9-88 增塑剂（Plasticizer）
- **制造商**：EASTMAN（伊士曼）
- **类型**：高溶解性增塑剂，应用领域明确包含**汽车**和**聚氨酯**体系（弹性地板、粘合剂、人造革布、填缝剂），与你们汽车内饰聚氨酯弹性体配方的用途匹配。
## 关键物理性质（典型值）
| 性质 | 数值 | 测试条件 |
|---|---|---|
| 比重 | **1.12** | 20°C/20°C |
| 粘度 | **105 cP（105 mPa·s）** | 25°C |
| 闪点（闭杯） | **360 °F（182 °C）** | Setaflash Closed Cup |
| 凝固点 | **-22 °F（-30 °C）** | — |
## 对你们评估的提示
- **加工安全性**：闭杯闪点 182 °C 较高，常规聚氨酯加工温度下挥发/点燃风险低；沸点 657 °F（347 °C）、20°C 蒸气压 &lt;0.00001 torr（&lt;0.0013 Pa），挥发性极低，有利于低 VOC 配方。
- **低温性能**：凝固点 -30 °C，意味着在低于 -30 °C 的储运/使用环境下可能开始凝固，需关注极寒工况下的泵送与计量；常温下粘度仅 105 cP，流动性良好，便于计量和混合。
## 重要备注（原样保留）
- 上述性质为**平均批次的典型值**，伊士曼不保证任何特定发货批次完全符合上述数值。
- 伊士曼不对信息的使用或产品适用性负责，需由你们自行确定其在自身用途、环境保护及员工/购买者健康安全方面的适用性。
如需，我可以再补充该产品的酸度（≤0.1 wt%）、颜色（Pt-Co 40-80）、折射率（1.52 @25°C）等其余规格，或对比伊士曼其他 Benzoflex 牌号（如 9-88 SG、2088、354）在聚氨酯体系中的差异。</t>
        </is>
      </c>
      <c r="AA12" s="5" t="n"/>
      <c r="AB12" s="5" t="inlineStr">
        <is>
          <t>错误</t>
        </is>
      </c>
      <c r="AC12" s="12" t="n">
        <v>1</v>
      </c>
      <c r="AD12" s="41" t="n">
        <v>7.955483369063586</v>
      </c>
      <c r="AE12" s="12" t="n">
        <v>1</v>
      </c>
      <c r="AF12" s="12" t="n">
        <v>10</v>
      </c>
      <c r="AG12" s="38" t="n">
        <v>100</v>
      </c>
      <c r="AH12" s="12" t="n">
        <v>1</v>
      </c>
      <c r="AI12" s="12" t="n">
        <v>10</v>
      </c>
      <c r="AJ12" s="5" t="inlineStr">
        <is>
          <t>虽然确认了型号和制造商，但四个关键物理性质（比重、粘度、闪点、凝固点）全部标注为'未提供'，未给出任何具体数值，完全未触及问题的核心要求。</t>
        </is>
      </c>
      <c r="AK12" s="5" t="inlineStr">
        <is>
          <t>根据您提供的资料，已确认伊士曼（Eastman）生产的 **Benzoﬂex™ 9-88** 增塑剂的相关信息如下：
**产品型号：** Benzoﬂex™ 9-88
**制造商：** 伊士曼（Eastman）
关于其关键物理性质，资料中的摘要信息并未提供您所询问的全部具体数值。文档摘要仅列出了该数据表包含的典型物性项目，具体数值需查阅完整文档。已确认的信息整理如下：
| 物理性质 | 数值 | 备注 |
| :--- | :--- | :--- |
| **比重（20°C/20°C）** | 未提供 | 摘要中未列出此温度下的具体值 |
| **粘度（25°C）** | 未提供 | 摘要中未列出具体值 |
| **闪点（闭杯）** | 未提供 | 摘要中未列出具体值 |
| **凝固点** | 未提供 | 摘要中未列出具体值 |
**分析与建议：**
1.  **产品确认：** 根据文档检索结果，`Benzoflex™ 9-88` 是伊士曼（Eastman）公司生产的一款高溶解性增塑剂，广泛应用于弹性地板、粘合剂、人造革和填缝料等聚合物体系&lt;kb doc="3b2f1c7fc6690edfea01c2de3ea27eb3.pdf" chunk_id="d8ed0984-b4af-481f-b6e6-3953885f4d1a" kb_id="677e7f95-5530-4872-8412-55abbe459b7f" /&gt;。
2.  **缺失数据：** 您所询问的比重（20°C/20°C）、粘度（25°C）、闪点（闭杯）以及凝固点这些关键数据，在提供的文档摘要中均未被具体列出。摘要仅提及该技术数据表包含了这些项目，但未给出实际数值&lt;kb doc="3b2f1c7fc6690edfea01c2de3ea27eb3.pdf" chunk_id="d8ed0984-b4af-481f-b6e6-3953885f4d1a" kb_id="677e7f95-5530-4872-8412-55abbe459b7f" /&gt;。
3.  **下一步建议：**
    *   **查阅完整技术数据表：** 最直接的方式是获取并查阅 `Benzoflex™ 9-88` 的完整技术数据表（TDS）原件，其中应包含您需要的所有详细物性数据。
    *   **参考其他型号：** 如果急需数据做初步评估，可以临时参考同系列其他型号的数据。例如，Benzoflex™ 2088 的摘要中提供了比重 1.16、粘度 71 cP 及闪点 396°F 等数据&lt;kb doc="0cab4a54f13d0e9c14fae0469ba95abf.pdf" chunk_id="c47ebd75-3af6-46a6-b8d9-5c86277c4605" kb_id="677e7f95-5530-4872-8412-55abbe459b7f" /&gt;，但这仅为参考，不能替代 9-88 型号的准确数据。
    *   **联系供应商：** 直接联系伊士曼或其授权经销商，索取该产品的官方技术数据表（TDS）和安全数据表（SDS），以获取最准确、完整的物性参数，为您的聚氨酯弹性体配方开发提供可靠依据。</t>
        </is>
      </c>
      <c r="AL12" s="5" t="n"/>
      <c r="AM12" s="5" t="inlineStr">
        <is>
          <t>Agentic</t>
        </is>
      </c>
      <c r="AN12" s="5" t="inlineStr">
        <is>
          <t>A 未给出任何具体物性数值，核心要求完全未满足；B 准确列出全部四项数据并附加了实用性分析，质量远优于 A。</t>
        </is>
      </c>
      <c r="AO12" s="5" t="inlineStr">
        <is>
          <t>否</t>
        </is>
      </c>
    </row>
    <row r="13">
      <c r="A13" s="7" t="inlineStr">
        <is>
          <t>q_1hop_0010</t>
        </is>
      </c>
      <c r="B13" s="15" t="n">
        <v>1</v>
      </c>
      <c r="C13" s="7" t="inlineStr">
        <is>
          <t>我们在评估埃克森美孚（ExxonMobil）Heptene 高碳烯烃作为合成油基础油原料的可行性。请确认该产品的密度（15°C）和比重（20/20°C）的具体规格范围，以及其饱和烃含量（Saturates Content）的最大允许值是多少？</t>
        </is>
      </c>
      <c r="D13" s="7" t="inlineStr">
        <is>
          <t>埃克森美孚 Heptene 高碳烯烃的密度（15°C）规格范围为 0.704 - 0.715 kg/l；比重（20/20°C）规格范围为 0.705 - 0.716；饱和烃含量（Saturates Content）的最大允许值为 4.0 wt%。</t>
        </is>
      </c>
      <c r="E13" s="39" t="n">
        <v>100</v>
      </c>
      <c r="F13" s="15" t="n">
        <v>1</v>
      </c>
      <c r="G13" s="15" t="n">
        <v>1</v>
      </c>
      <c r="H13" s="15" t="n">
        <v>12</v>
      </c>
      <c r="I13" s="7" t="inlineStr">
        <is>
          <t>2a81d004841782cdbb7a51bea98bed85.pdf</t>
        </is>
      </c>
      <c r="J13" s="7" t="inlineStr">
        <is>
          <t>正确</t>
        </is>
      </c>
      <c r="K13" s="15" t="n">
        <v>1</v>
      </c>
      <c r="L13" s="42" t="n">
        <v>14.4797395421192</v>
      </c>
      <c r="M13" s="42" t="n">
        <v>3.750954039860517</v>
      </c>
      <c r="N13" s="42" t="n">
        <v>1.875477019930258</v>
      </c>
      <c r="O13" s="15" t="n">
        <v>2</v>
      </c>
      <c r="P13" s="15" t="n">
        <v>4</v>
      </c>
      <c r="Q13" s="42" t="n">
        <v>3e-06</v>
      </c>
      <c r="R13" s="42" t="n">
        <v>7e-06</v>
      </c>
      <c r="S13" s="42" t="n">
        <v>0.002781</v>
      </c>
      <c r="T13" s="42" t="n">
        <v>0.003548</v>
      </c>
      <c r="U13" s="42" t="n">
        <v>0.5535680000000001</v>
      </c>
      <c r="V13" s="42" t="n">
        <v>2.443736</v>
      </c>
      <c r="W13" s="15" t="n">
        <v>41577</v>
      </c>
      <c r="X13" s="15" t="n">
        <v>12</v>
      </c>
      <c r="Y13" s="7" t="inlineStr">
        <is>
          <t>三项核心指标（密度 0.704–0.715 kg/l、比重 0.705–0.716、饱和烃含量最大 4.0 wt%）全部准确给出，与标准答案和参考文档完全一致，还补充了测试方法等细节。</t>
        </is>
      </c>
      <c r="Z13" s="7" t="inlineStr">
        <is>
          <t>已核实 ExxonMobil™ Heptene（高碳烯烃）销售规格（文件生效/修订日期 2024/08/29，供货地区：北美洲、拉丁美洲、欧洲），三项指标如下：
| 指标 | 规格范围 | 单位 | 测试方法 |
|---|---|---|---|
| 密度（15°C） | 0.704 – 0.715 | kg/l | ASTM D4052（Calculated，计算值） |
| 比重（20/20°C） | 0.705 – 0.716 | — | BRC P 4843（Calculated，计算值） |
| 饱和烃含量（Saturates Content） | 最大 4.0 | wt% | BCI GC-02、BRC P 4790 |
补充说明：
- 密度和比重两项标注为 "Calculated"，即由另一规格参数推导得出，而非直接实测。
- 该产品外观要求为"清晰、无悬浮物"，色度（Pt-Co）最大 40；过氧化物（以活性氧计）最大 10 wppm；水含量最大 50 wppm；C6 及更轻组分最大 3.0 wt%，C8 及更重组分最大 6.0 wt%。
- 产品使用受阻酚作为抑制剂。
- 文档未提供具体 CAS 号或商品型号，仅列出销售规格。
以上数据可作为评估 Heptene 作为合成油基础油原料的参考依据。</t>
        </is>
      </c>
      <c r="AA13" s="7" t="n"/>
      <c r="AB13" s="7" t="inlineStr">
        <is>
          <t>错误</t>
        </is>
      </c>
      <c r="AC13" s="15" t="n">
        <v>1</v>
      </c>
      <c r="AD13" s="42" t="n">
        <v>4.835515102837235</v>
      </c>
      <c r="AE13" s="15" t="n">
        <v>1</v>
      </c>
      <c r="AF13" s="15" t="n">
        <v>9</v>
      </c>
      <c r="AG13" s="39" t="n">
        <v>100</v>
      </c>
      <c r="AH13" s="15" t="n">
        <v>1</v>
      </c>
      <c r="AI13" s="15" t="n">
        <v>9</v>
      </c>
      <c r="AJ13" s="7" t="inlineStr">
        <is>
          <t>密度和饱和烃含量答对，但比重（20/20°C）一项明确声称'规格表中未列出'，而参考文档中清楚列出了 0.705–0.716，属于关键要点答错。</t>
        </is>
      </c>
      <c r="AK13" s="7" t="inlineStr">
        <is>
          <t>根据埃克森美孚（ExxonMobil™）Heptene 高碳烯烃的销售规格文件，您所询问的关键指标具体规格范围如下：
| 属性 | 规格范围 | 单位 |
| :--- | :--- | :--- |
| **密度 (15°C)** | **0.704 ~ 0.715** | kg/l |
| **比重 (20/20°C)** | 该规格表中**未列出**此参数，仅提供了15°C下的密度值。 | -- |
| **饱和烃含量 (Saturates Content)** | **最大值 4.0** | wt% |
**总结：**
- **密度（15°C）** 的范围为 **0.704 至 0.715 kg/l**。&lt;kb doc="2a81d004841782cdbb7a51bea98bed85.pdf" chunk_id="4639e502-15de-4b27-ac55-ea5569f3b368" kb_id="677e7f95-5530-4872-8412-55abbe459b7f" /&gt;
- **比重（20/20°C）** 在所提供的销售规格书中并未给出，无法确认其具体数值。
- **饱和烃含量（Saturates Content）** 的最大允许值为 **4.0 wt%**。&lt;kb doc="2a81d004841782cdbb7a51bea98bed85.pdf" chunk_id="4639e502-15de-4b27-ac55-ea5569f3b368" kb_id="677e7f95-5530-4872-8412-55abbe459b7f" /&gt;</t>
        </is>
      </c>
      <c r="AL13" s="7" t="n"/>
      <c r="AM13" s="7" t="inlineStr">
        <is>
          <t>Agentic</t>
        </is>
      </c>
      <c r="AN13" s="7" t="inlineStr">
        <is>
          <t>A 三项指标全部正确且完整，B 在比重（20/20°C）这一核心要点上给出了与文档相悖的错误结论，因此 A 明显更优。</t>
        </is>
      </c>
      <c r="AO13" s="7" t="inlineStr">
        <is>
          <t>否</t>
        </is>
      </c>
    </row>
    <row r="14">
      <c r="A14" s="5" t="inlineStr">
        <is>
          <t>q_2hop_0001</t>
        </is>
      </c>
      <c r="B14" s="12" t="n">
        <v>2</v>
      </c>
      <c r="C14" s="5" t="inlineStr">
        <is>
          <t>我们是一家建筑密封胶制造商，正在评估伊士曼（Eastman）的 Benzoflex™ LC-531 和 Benzoflex™ 2088 两种增塑剂用于丙烯酸乳液填缝剂（acrylic latex caulks）的配方。请对比这两款产品在25°C下的粘度、20°C下的蒸气压以及酸度指标，并指出哪一款在降低挥发性方面表现更优，同时说明哪一款在酸度控制上更严格。</t>
        </is>
      </c>
      <c r="D14" s="5" t="inlineStr">
        <is>
          <t>Benzoflex™ LC-531 在25°C下的粘度为 55 cP，20°C下的蒸气压小于 0.0001 torr，酸度最大值为 1 wt%。Benzoflex™ 2088 在25°C下的粘度为 71 cP，20°C下的蒸气压小于 0.00001 torr，酸度最大值为 0.1 wt%。在降低挥发性方面，Benzoflex™ 2088 表现更优，因为其蒸气压上限（&lt;0.00001 torr）远低于 Benzoflex™ LC-531（&lt;0.0001 torr）。在酸度控制上，Benzoflex™ 2088 更严格，其最大酸度限值（0.1 wt%）低于 Benzoflex™ LC-531（1 wt%）。</t>
        </is>
      </c>
      <c r="E14" s="38" t="n">
        <v>100</v>
      </c>
      <c r="F14" s="12" t="n">
        <v>2</v>
      </c>
      <c r="G14" s="12" t="n">
        <v>2</v>
      </c>
      <c r="H14" s="12" t="n">
        <v>17</v>
      </c>
      <c r="I14" s="5" t="inlineStr">
        <is>
          <t>0d8710e5244a08f53fc3b49c4c529e30.pdf / 0cab4a54f13d0e9c14fae0469ba95abf.pdf</t>
        </is>
      </c>
      <c r="J14" s="5" t="inlineStr">
        <is>
          <t>正确</t>
        </is>
      </c>
      <c r="K14" s="12" t="n">
        <v>1</v>
      </c>
      <c r="L14" s="41" t="n">
        <v>26.50530475797132</v>
      </c>
      <c r="M14" s="41" t="n">
        <v>3.457184492843226</v>
      </c>
      <c r="N14" s="41" t="n">
        <v>0.6914368985686451</v>
      </c>
      <c r="O14" s="12" t="n">
        <v>5</v>
      </c>
      <c r="P14" s="12" t="n">
        <v>6</v>
      </c>
      <c r="Q14" s="41" t="n">
        <v>9e-06</v>
      </c>
      <c r="R14" s="41" t="n">
        <v>1.8e-05</v>
      </c>
      <c r="S14" s="41" t="n">
        <v>0.004158</v>
      </c>
      <c r="T14" s="41" t="n">
        <v>0.008692</v>
      </c>
      <c r="U14" s="41" t="n">
        <v>0.790901</v>
      </c>
      <c r="V14" s="41" t="n">
        <v>1.182716</v>
      </c>
      <c r="W14" s="12" t="n">
        <v>96549</v>
      </c>
      <c r="X14" s="12" t="n">
        <v>17</v>
      </c>
      <c r="Y14" s="5" t="inlineStr">
        <is>
          <t>两款产品的粘度、蒸气压、酸度数据均与参考文档完全一致，挥发性（2088更优）和酸度控制（2088更严格）两个结论也正确，并补充了配方适用性提示。</t>
        </is>
      </c>
      <c r="Z14" s="5" t="inlineStr">
        <is>
          <t>两款产品均已从伊士曼（Eastman）官方技术数据表核实，对比如下。
## 核心指标对比
| 指标 | Benzoflex™ LC-531 | Benzoflex™ 2088 |
|---|---|---|
| 粘度 @ 25°C | 55 cP (55 mPa·s) | 71 cP (71 mPa·s) |
| 蒸气压 @ 20°C | &lt;0.0001 torr (&lt;0.0133 Pa) | &lt;0.00001 torr (&lt;0.0013 Pa) |
| 酸度 (Acidity) | 最大 1 wt% | 最大 0.1 wt% |
## 结论
**降低挥发性方面：Benzoflex™ 2088 更优。**
2088 的 20°C 蒸气压上限为 &lt;0.00001 torr（&lt;0.0013 Pa），比 LC-531 的 &lt;0.0001 torr（&lt;0.0133 Pa）低一个数量级。蒸气压越低，挥发性越小，因此 2088 在低挥发性上表现更好。这与 2088 数据表中"在 PVC 应用中作为快速增塑剂，提供低加工温度和低挥发性"的描述一致。
**酸度控制方面：Benzoflex™ 2088 更严格。**
2088 的酸度上限为 0.1 wt%，而 LC-531 为 1 wt%，2088 的酸度规格比 LC-531 严格 10 倍。
## 配方提示
- **LC-531** 是专为乳胶密封胶（latex caulks）配制、针对 ASTM C-920 / C-834 性能要求设计的产品，粘度更低（55 cP），更适合丙烯酸乳液填缝剂体系，但酸度规格较宽（1 wt%）。
- **2088** 同样明确标注"能提高丙烯酸乳液填缝剂（acrylic latex caulks）的附着力"，且挥发性更低、酸度控制更严，但粘度更高（71 cP）。
如果你们的填缝剂配方对低 VOC / 低挥发和酸度稳定性要求高，2088 在挥发性与酸度两项上占优；若更看重低粘度带来的加工/流变特性，LC-531 更合适。两者均为伊士曼平均批次典型值，实际发货批次可能略有偏差，建议以随货 COA 复核。
（来源：Benzoflex LC-531 TDS，doc_id=37；Benzoflex 2088 TDS，doc_id=36）</t>
        </is>
      </c>
      <c r="AA14" s="5" t="n"/>
      <c r="AB14" s="5" t="inlineStr">
        <is>
          <t>错误</t>
        </is>
      </c>
      <c r="AC14" s="12" t="n">
        <v>1</v>
      </c>
      <c r="AD14" s="41" t="n">
        <v>7.725757966050878</v>
      </c>
      <c r="AE14" s="12" t="n">
        <v>1</v>
      </c>
      <c r="AF14" s="12" t="n">
        <v>9</v>
      </c>
      <c r="AG14" s="38" t="n">
        <v>100</v>
      </c>
      <c r="AH14" s="12" t="n">
        <v>2</v>
      </c>
      <c r="AI14" s="12" t="n">
        <v>9</v>
      </c>
      <c r="AJ14" s="5" t="inlineStr">
        <is>
          <t>Benzoflex 2088 的三项数据全部错误（粘度写成325-425 cP而非71 cP，蒸气压写成0.001 torr而非&lt;0.00001 torr，酸度写成Acid Number 3而非0.1 wt%），且两个核心结论（挥发性更优、酸度更严格）均判反，与参考文档和标准答案完全矛盾。</t>
        </is>
      </c>
      <c r="AK14" s="5" t="inlineStr">
        <is>
          <t>根据检索到的伊士曼（Eastman）技术数据表，以下是对 **Benzoflex™ LC-531** 和 **Benzoflex™ 2088** 两款增塑剂在您所关注的指标上的详细对比：
### 1. 粘度（25°C）
| 产品 | 25°C 粘度 | 数据来源 |
| :--- | :--- | :--- |
| **Benzoflex™ LC-531** | **55 cP** (55 mPa·s) | &lt;kb doc="0d8710e5244a08f53fc3b49c4c529e30.pdf" chunk_id="779450f5-1007-49ab-a77f-378852cb08fd" kb_id="677e7f95-5530-4872-8412-55abbe459b7f" /&gt; |
| **Benzoflex™ 2088** | **325-425 cP** (325-425 mPa·s) | &lt;kb doc="700039db3275f74e32684c0bb9efe43e.pdf" chunk_id="a4642bbd-8ae7-4025-8632-98e3d2707a8e" kb_id="677e7f95-5530-4872-8412-55abbe459b7f" /&gt; |
**结论**：Benzoflex™ LC-531 在25°C下的粘度远低于 Benzoflex™ 2088，流动性更好。
### 2. 蒸气压（20°C）
| 产品 | 20°C 蒸气压 | 数据来源 |
| :--- | :--- | :--- |
| **Benzoflex™ LC-531** | **&lt; 0.0001 torr** (&lt; 0.0133 Pa) | &lt;kb doc="0d8710e5244a08f53fc3b49c4c529e30.pdf" chunk_id="779450f5-1007-49ab-a77f-378852cb08fd" kb_id="677e7f95-5530-4872-8412-55abbe459b7f" /&gt; |
| **Benzoflex™ 2088** | **0.001 torr** (&lt; 0.13 Pa) | &lt;kb doc="700039db3275f74e32684c0bb9efe43e.pdf" chunk_id="a4642bbd-8ae7-4025-8632-98e3d2707a8e" kb_id="677e7f95-5530-4872-8412-55abbe459b7f" /&gt; |
**结论**：Benzoflex™ LC-531 的蒸气压更低。在降低挥发性方面，**Benzoflex™ LC-531 表现更优**。
### 3. 酸度指标
| 产品 | 酸度指标 | 数据来源 |
| :--- | :--- | :--- |
| **Benzoflex™ LC-531** | **Acidity (wt%) 1 max.**（酸度最大值 1%） | &lt;kb doc="0d8710e5244a08f53fc3b49c4c529e30.pdf" chunk_id="779450f5-1007-49ab-a77f-378852cb08fd" kb_id="677e7f95-5530-4872-8412-55abbe459b7f" /&gt; |
| **Benzoflex™ 2088** | **Acid Number 3 max.**（酸值最大值 3） | &lt;kb doc="700039db3275f74e32684c0bb9efe43e.pdf" chunk_id="a4642bbd-8ae7-4025-8632-98e3d2707a8e" kb_id="677e7f95-5530-4872-8412-55abbe459b7f" /&gt; |
**结论**：Benzoflex™ LC-531 的酸度指标以质量百分比（wt%）控制，上限为1%；而 Benzoflex™ 2088 的酸值上限为3。在酸度控制上，**Benzoflex™ LC-531 的指标更为严格**。
### 总结
| 对比维度 | 更优产品 |
| :--- | :--- |
| **降低挥发性** | **Benzoflex™ LC-531**（蒸气压更低） |
| **酸度控制严格性** | **Benzoflex™ LC-531**（酸度上限1% vs 酸值上限3） |</t>
        </is>
      </c>
      <c r="AL14" s="5" t="n"/>
      <c r="AM14" s="5" t="inlineStr">
        <is>
          <t>Agentic</t>
        </is>
      </c>
      <c r="AN14" s="5" t="inlineStr">
        <is>
          <t>A 在 2088 的三项关键数据上全部出错且两个结论判反，B 数据与结论完全准确并提供了额外的配方建议，质量差距显著。</t>
        </is>
      </c>
      <c r="AO14" s="5" t="inlineStr">
        <is>
          <t>否</t>
        </is>
      </c>
    </row>
    <row r="15">
      <c r="A15" s="7" t="inlineStr">
        <is>
          <t>q_3hop_0001</t>
        </is>
      </c>
      <c r="B15" s="15" t="n">
        <v>3</v>
      </c>
      <c r="C15" s="7" t="inlineStr">
        <is>
          <t>我们工厂正在为电子外壳项目评估锦湖石化（Kumho Petrochemical）的三款材料：ABS 750、HAC-8244D 和 HFA 708F。请帮我梳理这三款产品的核心成分构成，特别是 HFA 708F 中用于阻燃的具体助剂及其含量范围。另外，从 GHS 安全分类和 NFPA 评级来看，哪款产品的健康风险最高？其具体的危险象形图、警示词及主要危险性说明（H 代码）是什么？</t>
        </is>
      </c>
      <c r="D15" s="7" t="inlineStr">
        <is>
          <t>1. 核心成分构成：
- ABS 750：主要成分为丙烯腈-丁二烯-苯乙烯共聚物（CAS 9003-56-9），含量 97~100%；另含稳定剂（0~1%）和润滑剂（0~3%）。
- HAC-8244D：主要成分为丙烯腈-丁二烯-苯乙烯（CAS 9003-56-9，含量 35~65%）和聚碳酸酯（CAS 24936-68-3，含量 35~65%），另含添加剂（0~2%）。
- HFA 708F：主要成分为 ABS 树脂（CAS 9003-56-9，含量 70~80%）。
2. HFA 708F 阻燃助剂：
- 溴化阻燃剂（Brominated flame retardant，CAS 25713-60-4），含量 15~20%。
- 三氧化二锑（Antimony Trioxide，CAS 1309-64-4），含量 1~5%。
- 氯化聚乙烯（Chlorinated Polyethylene，CAS 64754-90-1），含量 1~5%（通常作为协效剂）。
3. 健康风险对比：
- HFA 708F 的健康风险最高。
- GHS 分类：致癌性 1B 类，特定目标器官毒性（重复暴露）2 类。
- NFPA 评级：健康=1，可燃性=1，反应性=0（ABS 750 和 HAC-8244D 均为 0-0-0）。
- 危险象形图：健康危害（人形上半身与星形图案）。
- 警示词：危险（Danger）。
- 主要危险性说明：H350 可能致癌；H373 长期或重复接触可能对器官造成伤害。</t>
        </is>
      </c>
      <c r="E15" s="39" t="n">
        <v>100</v>
      </c>
      <c r="F15" s="15" t="n">
        <v>3</v>
      </c>
      <c r="G15" s="15" t="n">
        <v>3</v>
      </c>
      <c r="H15" s="15" t="n">
        <v>13</v>
      </c>
      <c r="I15" s="7" t="inlineStr">
        <is>
          <t>3e7754a178496e020d05ae37b76f1b07.pdf / 84c1beaae97fdcca1d97b6f3e9f05570.pdf / 9369ccb105b9ec06fc1e98bee1747c32.pdf</t>
        </is>
      </c>
      <c r="J15" s="7" t="inlineStr">
        <is>
          <t>正确</t>
        </is>
      </c>
      <c r="K15" s="15" t="n">
        <v>1</v>
      </c>
      <c r="L15" s="42" t="n">
        <v>40.29036583285779</v>
      </c>
      <c r="M15" s="42" t="n">
        <v>3.105863929027691</v>
      </c>
      <c r="N15" s="42" t="n">
        <v>1.035287976342564</v>
      </c>
      <c r="O15" s="15" t="n">
        <v>3</v>
      </c>
      <c r="P15" s="15" t="n">
        <v>4</v>
      </c>
      <c r="Q15" s="42" t="n">
        <v>5e-06</v>
      </c>
      <c r="R15" s="42" t="n">
        <v>6.600000000000001e-05</v>
      </c>
      <c r="S15" s="42" t="n">
        <v>0</v>
      </c>
      <c r="T15" s="42" t="n">
        <v>0</v>
      </c>
      <c r="U15" s="42" t="n">
        <v>2.175909</v>
      </c>
      <c r="V15" s="42" t="n">
        <v>0.9286350000000001</v>
      </c>
      <c r="W15" s="15" t="n">
        <v>86661</v>
      </c>
      <c r="X15" s="15" t="n">
        <v>18</v>
      </c>
      <c r="Y15" s="7" t="inlineStr">
        <is>
          <t>三款产品成分、HFA 708F阻燃助剂（溴化阻燃剂15~20%、三氧化二锑1~5%、氯化聚乙烯1~5%）及含量均准确；GHS分类（致癌性1B、STOT RE 2）、NFPA 1/1/0、象形图（人形+星形）、警示词（危险）、H350/H373全部与标准答案一致。</t>
        </is>
      </c>
      <c r="Z15" s="7" t="inlineStr">
        <is>
          <t>## 结论先行
**健康风险最高的是 HFA 708F**——它是三款中唯一被 GHS 分类（致癌性 1B 类 + 特定目标器官毒性重复暴露 2 类）、唯一带"危险"警示词、唯一 NFPA 健康评级非 0（=1）的产品。ABS 750 和 HAC-8244D 的 GHS 分类与 NFPA 三项评级均为"不适用/0"。
---
## 一、三款产品核心成分构成
### 1. ABS 750（通用 ABS 树脂，Kumho，SDS 修订 2023.04.20）
| 成分 | CAS | 含量 |
|---|---|---|
| 丙烯腈-丁二烯-苯乙烯共聚物 (ABS) | 9003-56-9 | 97~100% |
| 稳定剂 (Stabilizer) | 专有 | 0~1% |
| 润滑剂 (Lubricant) | 专有 | 0~3% |
### 2. HAC-8244D（ABS/PC 合金，Kumho，SDS 修订 2018.07.18）
| 成分 | CAS | 含量 |
|---|---|---|
| ABS | 9003-56-9 | 35~65% |
| 聚碳酸酯 (Polycarbonate) | 24936-68-3 | 35~65% |
| 添加剂 (Additives) | 专有 | 0~2% |
### 3. HFA 708F（阻燃 ABS 复合材料，Kumho，SDS 修订 2018.07.19）
| 成分 | CAS | 含量 |
|---|---|---|
| ABS 树脂 | 9003-56-9 | 70~80% |
| **溴化阻燃剂 (Brominated flame retardant)** | **25713-60-4** | **15~20%** |
| 氯化聚乙烯 (Chlorinated Polyethylene) | 64754-90-1 | 1~5% |
| **三氧化二锑 (Antimony Trioxide)** | **1309-64-4** | **1~5%** |
| 抗氧化剂 (Antioxidant) | 2082-79-3 | 0.1~10% |
| 蜡 (Wax) | 85116-93-4 | 0.1~5% |
**HFA 708F 的阻燃体系**：以**溴化阻燃剂（CAS 25713-60-4，15~20%）为主阻燃剂**，配合**三氧化二锑（CAS 1309-64-4，1~5%）作为协效剂**（溴-锑协同是 ABS 阻燃的经典组合），并辅以**氯化聚乙烯（1~5%）**作为抑烟/成炭协效组分。SDS 第 11 节还特别标注三氧化二锑为 IARC 2B 组、EU CLP 致癌性 2 类、OSHA PEL 0.5 mg/m³——这正是该产品被 GHS 整体升级为"危险"的根源。
---
## 二、GHS / NFPA 对比
| 产品 | GHS 分类 | 警示词 | 象形图 | H 代码 | NFPA 健康/易燃/反应 |
|---|---|---|---|---|---|
| ABS 750 | 不适用 | 不适用 | 不适用 | 不适用 | 0 / 0 / 0 |
| HAC-8244D | 不适用 | 不适用 | 不适用 | 不适用 | 0 / 0 / 0 |
| **HFA 708F** | **致癌性 1B 类；特定目标器官毒性（重复暴露）2 类** | **危险 (Danger)** | **健康危害（骷髅+星形）** | **H350、H373** | **1 / 1 / 0** |
---
## 三、HFA 708F 的 GHS 标签要素（原样保留）
- **危险象形图**：GHS07 健康危害（人形上半身 + 星形图案，红框菱形）
- **警示词**：危险（Danger）
- **危险性说明**：
  - **H350** 可能致癌（May cause cancer）
  - **H373** 长期或重复接触可能对器官造成伤害（May cause damage to organs through prolonged or repeated exposure）
- **防范说明（要点）**：P201 使用前获取特别指示；P202 阅读并理解所有安全预防措施前请勿操作；P260 请勿吸入粉尘/烟雾/气体/雾/蒸气/喷雾；P281 按要求使用个人防护装备；P308+P313 如暴露或担心暴露，寻求医疗建议；P314 如感觉不适，寻求医疗建议；P405 上锁存放；P501 按当地法规处置。
---
## 四、对电子外壳项目的提示
1. **若外壳需阻燃**：HFA 708F 是唯一自带阻燃体系（溴+锑+氯化聚乙烯）的牌号，但需按 GHS"危险"等级管理——储存上锁、限制接触、配备呼吸/皮肤/眼防护，并评估下游 RoHS/REACH 对溴化阻燃剂和三氧化二锑的合规要求。
2. **若外壳不要求阻燃**：ABS 750（纯 ABS）或 HAC-8244D（ABS/PC 合金，冲击/耐热更好）在安全分类上更"干净"，GHS 不适用、NFPA 全 0，操作与仓储合规成本最低。
3. 三款燃烧时均会产生 CO/CO₂，ABS 系还会产生**氰化氢**，HAC-8244D 还会产生**苯乙烯**；灭火均**禁用直流水**，应使用 CO₂、干粉、泡沫或水喷雾。</t>
        </is>
      </c>
      <c r="AA15" s="7" t="n"/>
      <c r="AB15" s="7" t="inlineStr">
        <is>
          <t>正确</t>
        </is>
      </c>
      <c r="AC15" s="15" t="n">
        <v>1</v>
      </c>
      <c r="AD15" s="42" t="n">
        <v>11.22214533900842</v>
      </c>
      <c r="AE15" s="15" t="n">
        <v>1</v>
      </c>
      <c r="AF15" s="15" t="n">
        <v>10</v>
      </c>
      <c r="AG15" s="39" t="n">
        <v>0</v>
      </c>
      <c r="AH15" s="15" t="n">
        <v>0</v>
      </c>
      <c r="AI15" s="15" t="n">
        <v>10</v>
      </c>
      <c r="AJ15" s="7" t="inlineStr">
        <is>
          <t>核心结论正确（HFA 708F风险最高、警示词'危险'、含H350），但细节有多处偏差：象形图误写为'骷髅交叉骨'（应为健康危害人形+星形）、H代码将H373误写为H372且混入不相关的H332/H360/H400/H410、NFPA未给出具体数值、阻燃助剂缺少氯化聚乙烯、HAC-8244D成分用同系列其他型号推断而非直接引用。</t>
        </is>
      </c>
      <c r="AK15" s="7" t="inlineStr">
        <is>
          <t>好的，我根据您提供的安全数据表（SDS）信息，为您梳理锦湖石化这三款材料的相关信息。
### 1. 核心成分构成
根据检索到的信息，这三款产品的核心成分构成如下：
*   **ABS 750系列**：主要成分为**丙烯腈-丁二烯-苯乙烯共聚物**，含量为 **97~100%**。&lt;kb doc="519a489734c454668ef4dfd39254a506.pdf" chunk_id="a91b7d00-ea2b-43b8-890a-fdce0f75fe02" kb_id="677e7f95-5530-4872-8412-55abbe459b7f" /&gt;&lt;kb doc="62f520fda5fbc19eea6837c8d010c7d4.pdf" chunk_id="56f8c111-8c5b-4799-b59a-2599e0d8d86b" kb_id="677e7f95-5530-4872-8412-55abbe459b7f" /&gt; 该系列产品通常还含有少量添加剂，如稳定剂、润滑剂及残留单体。&lt;kb doc="62f520fda5fbc19eea6837c8d010c7d4.pdf" chunk_id="56f8c111-8c5b-4799-b59a-2599e0d8d86b" kb_id="677e7f95-5530-4872-8412-55abbe459b7f" /&gt;
*   **HAC-8244D**：该型号未直接出现在检索结果中，但根据同系列产品（如HAC-8250）的信息，其主要成分可能为 **ABS与聚碳酸酯（PC）的混合物**。以HAC-8250为例，其成分为ABS（40-50%）和聚碳酸酯（50-60%），添加剂含量小于1%。&lt;kb doc="53963d672455f47913e818e554d3da43.pdf" chunk_id="2e5f99c8-223d-4eb5-8124-3b8c36ac350d" kb_id="677e7f95-5530-4872-8412-55abbe459b7f" /&gt;
*   **HFA 708F**：该型号也未直接出现在检索结果中。但根据同系列阻燃产品（如HFA 709 Z）的SDS，其阻燃体系应为**溴系阻燃剂+锑系协效剂**。以HFA 709 Z为例，其成分包括：ABS树脂（70~80%）、双(五溴苯基)乙烷（15~20%）以及三氧化二锑等添加剂。&lt;kb doc="a349579ebb63b5f978159c8ad80f28a1.pdf" chunk_id="a526c1eb-7cca-4181-8ddd-ed673fd093c5" kb_id="677e7f95-5530-4872-8412-55abbe459b7f" /&gt;
### 2. HFA 708F 的阻燃助剂及含量范围
由于未直接检索到HFA 708F的SDS，以下信息基于同系列阻燃产品（如HFA 709 Z）的SDS进行推断：
*   **阻燃助剂**：可能包含 **双(五溴苯基)乙烷** 作为主阻燃剂，以及 **三氧化二锑** 作为阻燃协效剂。&lt;kb doc="a349579ebb63b5f978159c8ad80f28a1.pdf" chunk_id="a526c1eb-7cca-4181-8ddd-ed673fd093c5" kb_id="677e7f95-5530-4872-8412-55abbe459b7f" /&gt;
*   **含量范围**：参考HFA 709 Z，主阻燃剂含量可能在 **15~20%** 范围内，协效剂（三氧化二锑）含量未明确给出，通常为百分之几。&lt;kb doc="a349579ebb63b5f978159c8ad80f28a1.pdf" chunk_id="a526c1eb-7cca-4181-8ddd-ed673fd093c5" kb_id="677e7f95-5530-4872-8412-55abbe459b7f" /&gt;
### 3. 健康风险最高的产品及GHS/NFPA信息
**结论：HFA 708F（基于同系列产品HFA 709 Z和HFA 707的信息）的健康风险在三者中最高。**
#### NFPA 评级对比
*   **ABS 750系列**：NFPA评级为健康 **0**、易燃性 0、反应性 0。&lt;kb doc="519a489734c454668ef4dfd39254a506.pdf" chunk_id="a91b7d00-ea2b-43b8-890a-fdce0f75fe02" kb_id="677e7f95-5530-4872-8412-55abbe459b7f" /&gt;&lt;kb doc="62f520fda5fbc19eea6837c8d010c7d4.pdf" chunk_id="56f8c111-8c5b-4799-b59a-2599e0d8d86b" kb_id="677e7f95-5530-4872-8412-55abbe459b7f" /&gt;
*   **HAC-8244D（参考HAC-8250）**：NFPA评级为健康 **0**、易燃性 0、反应性 0。&lt;kb doc="53963d672455f47913e818e554d3da43.pdf" chunk_id="2e5f99c8-223d-4eb5-8124-3b8c36ac350d" kb_id="677e7f95-5530-4872-8412-55abbe459b7f" /&gt;
*   **HFA系列（参考HFA 709 Z）**：NFPA评级未在摘要中明确给出，但其GHS分类显示具有严重健康危害。
#### GHS 安全分类与危险性说明
HFA 708F的GHS分类及危险性说明，可参考同系列产品HFA 709 Z和HFA 707的SDS信息：
*   **GHS 危险象形图**：根据其危害分类，应包含健康危害（感叹号或健康危害）和骷髅交叉骨等象形图。
*   **警示词**：**危险**。&lt;kb doc="b17e15af542f5fca44ee533530675006.pdf" chunk_id="819b6511-87ca-4660-bd3d-c9157b823ae2" kb_id="677e7f95-5530-4872-8412-55abbe459b7f" /&gt;
*   **主要危险性说明（H 代码）**：
    *   **H332**：吸入有害。&lt;kb doc="06115b6e0f49f029ff6f8f7448fc072d.pdf" chunk_id="1ff51f65-bca7-4817-9ed7-f0d2eed8f2e6" kb_id="677e7f95-5530-4872-8412-55abbe459b7f" /&gt;
    *   **H350**：可能致癌。&lt;kb doc="b17e15af542f5fca44ee533530675006.pdf" chunk_id="819b6511-87ca-4660-bd3d-c9157b823ae2" kb_id="677e7f95-5530-4872-8412-55abbe459b7f" /&gt;&lt;kb doc="a349579ebb63b5f978159c8ad80f28a1.pdf" chunk_id="a526c1eb-7cca-4181-8ddd-ed673fd093c5" kb_id="677e7f95-5530-4872-8412-55abbe459b7f" /&gt;
    *   **H360**：可能对生育能力或胎儿造成伤害。&lt;kb doc="b17e15af542f5fca44ee533530675006.pdf" chunk_id="819b6511-87ca-4660-bd3d-c9157b823ae2" kb_id="677e7f95-5530-4872-8412-55abbe459b7f" /&gt;&lt;kb doc="06115b6e0f49f029ff6f8f7448fc072d.pdf" chunk_id="1ff51f65-bca7-4817-9ed7-f0d2eed8f2e6" kb_id="677e7f95-5530-4872-8412-55abbe459b7f" /&gt;
    *   **H372**：长期或反复接触会对器官造成损害。&lt;kb doc="a349579ebb63b5f978159c8ad80f28a1.pdf" chunk_id="a526c1eb-7cca-4181-8ddd-ed673fd093c5" kb_id="677e7f95-5530-4872-8412-55abbe459b7f" /&gt;
    *   **H400/H410**：对水生生物毒性极大并具有长期持续影响。&lt;kb doc="06115b6e0f49f029ff6f8f7448fc072d.pdf" chunk_id="1ff51f65-bca7-4817-9ed7-f0d2eed8f2e6" kb_id="677e7f95-5530-4872-8412-55abbe459b7f" /&gt;
**总结**：ABS 750和HAC系列在GHS分类下不属于危险品，NFPA健康评级为0。而HFA系列阻燃产品由于添加了溴系阻燃剂和三氧化二锑，被归类为致癌物和特定靶器官毒物，其健康风险远高于前两者。</t>
        </is>
      </c>
      <c r="AL15" s="7" t="n"/>
      <c r="AM15" s="7" t="inlineStr">
        <is>
          <t>Agentic</t>
        </is>
      </c>
      <c r="AN15" s="7" t="inlineStr">
        <is>
          <t>A所有数据点（成分含量、阻燃助剂、GHS/NFPA、象形图、H代码）均与SDS原文精确对应，而B多处依赖同系列推断且象形图、H代码、NFPA等关键细节存在明显错误，准确性和完整性远不及A。</t>
        </is>
      </c>
      <c r="AO15" s="7" t="inlineStr">
        <is>
          <t>是</t>
        </is>
      </c>
    </row>
  </sheetData>
  <autoFilter ref="A3:AO15"/>
  <mergeCells count="1">
    <mergeCell ref="A1:A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36" customWidth="1" min="3" max="3"/>
    <col width="22" customWidth="1" min="4" max="4"/>
    <col width="8.300000000000001" customWidth="1" min="5" max="5"/>
    <col width="9.1" customWidth="1" min="6" max="6"/>
    <col width="9.100000000000001" customWidth="1" min="7" max="7"/>
    <col width="10" customWidth="1" min="8" max="8"/>
    <col width="22" customWidth="1" min="9" max="9"/>
    <col width="12.25" customWidth="1" min="10" max="10"/>
    <col width="18.55" customWidth="1" min="11" max="11"/>
    <col width="20.40000000000001" customWidth="1" min="12" max="12"/>
    <col width="20.40000000000001" customWidth="1" min="13" max="13"/>
    <col width="20.40000000000001" customWidth="1" min="14" max="14"/>
    <col width="9.9" customWidth="1" min="15" max="15"/>
    <col width="8.85" customWidth="1" min="16" max="16"/>
    <col width="22" customWidth="1" min="17" max="17"/>
    <col width="22" customWidth="1" min="18" max="18"/>
    <col width="22" customWidth="1" min="19" max="19"/>
    <col width="9.9" customWidth="1" min="20" max="20"/>
    <col width="20.40000000000001" customWidth="1" min="21" max="21"/>
    <col width="20.40000000000001" customWidth="1" min="22" max="22"/>
    <col width="16.2" customWidth="1" min="23" max="23"/>
    <col width="17.34999999999999" customWidth="1" min="24" max="24"/>
    <col width="22" customWidth="1" min="25" max="25"/>
    <col width="22" customWidth="1" min="26" max="26"/>
    <col width="12.25" customWidth="1" min="27" max="27"/>
    <col width="12.25" customWidth="1" min="28" max="28"/>
    <col width="18.55" customWidth="1" min="29" max="29"/>
    <col width="20.40000000000001" customWidth="1" min="30" max="30"/>
    <col width="19.6" customWidth="1" min="31" max="31"/>
    <col width="13.95" customWidth="1" min="32" max="32"/>
    <col width="15.65" customWidth="1" min="33" max="33"/>
    <col width="16.45" customWidth="1" min="34" max="34"/>
    <col width="17.34999999999999" customWidth="1" min="35" max="35"/>
    <col width="22" customWidth="1" min="36" max="36"/>
    <col width="22" customWidth="1" min="37" max="37"/>
    <col width="12.25" customWidth="1" min="38" max="38"/>
    <col width="8.85" customWidth="1" min="39" max="39"/>
    <col width="22" customWidth="1" min="40" max="40"/>
    <col width="11.7" customWidth="1" min="41" max="41"/>
  </cols>
  <sheetData>
    <row r="1" ht="24" customHeight="1">
      <c r="A1" s="1" t="inlineStr">
        <is>
          <t>评判不一致或有胜负的题（12 / 12）</t>
        </is>
      </c>
    </row>
    <row r="2"/>
    <row r="3" ht="22" customHeight="1">
      <c r="A3" s="3" t="inlineStr">
        <is>
          <t>ID</t>
        </is>
      </c>
      <c r="B3" s="3" t="inlineStr">
        <is>
          <t>跳数</t>
        </is>
      </c>
      <c r="C3" s="3" t="inlineStr">
        <is>
          <t>问题</t>
        </is>
      </c>
      <c r="D3" s="3" t="inlineStr">
        <is>
          <t>标准答案</t>
        </is>
      </c>
      <c r="E3" s="3" t="inlineStr">
        <is>
          <t>文档召回</t>
        </is>
      </c>
      <c r="F3" s="3" t="inlineStr">
        <is>
          <t>命中gold</t>
        </is>
      </c>
      <c r="G3" s="3" t="inlineStr">
        <is>
          <t>gold总数</t>
        </is>
      </c>
      <c r="H3" s="3" t="inlineStr">
        <is>
          <t>检索文档数</t>
        </is>
      </c>
      <c r="I3" s="3" t="inlineStr">
        <is>
          <t>gold文档</t>
        </is>
      </c>
      <c r="J3" s="3" t="inlineStr">
        <is>
          <t>Agentic评判</t>
        </is>
      </c>
      <c r="K3" s="3" t="inlineStr">
        <is>
          <t>Agentic query状态</t>
        </is>
      </c>
      <c r="L3" s="3" t="inlineStr">
        <is>
          <t>Agentic每问s</t>
        </is>
      </c>
      <c r="M3" s="3" t="inlineStr">
        <is>
          <t>检索合计s</t>
        </is>
      </c>
      <c r="N3" s="3" t="inlineStr">
        <is>
          <t>单次search平均s</t>
        </is>
      </c>
      <c r="O3" s="3" t="inlineStr">
        <is>
          <t>n_search</t>
        </is>
      </c>
      <c r="P3" s="3" t="inlineStr">
        <is>
          <t>n_turns</t>
        </is>
      </c>
      <c r="Q3" s="3" t="inlineStr">
        <is>
          <t>预加载s</t>
        </is>
      </c>
      <c r="R3" s="3" t="inlineStr">
        <is>
          <t>改写s</t>
        </is>
      </c>
      <c r="S3" s="3" t="inlineStr">
        <is>
          <t>chunk路s</t>
        </is>
      </c>
      <c r="T3" s="3" t="inlineStr">
        <is>
          <t>node路s</t>
        </is>
      </c>
      <c r="U3" s="3" t="inlineStr">
        <is>
          <t>keyword路s</t>
        </is>
      </c>
      <c r="V3" s="3" t="inlineStr">
        <is>
          <t>重排s</t>
        </is>
      </c>
      <c r="W3" s="3" t="inlineStr">
        <is>
          <t>Agentic tokens</t>
        </is>
      </c>
      <c r="X3" s="3" t="inlineStr">
        <is>
          <t>Agentic检索来源数</t>
        </is>
      </c>
      <c r="Y3" s="3" t="inlineStr">
        <is>
          <t>Agentic评判原因</t>
        </is>
      </c>
      <c r="Z3" s="3" t="inlineStr">
        <is>
          <t>Agentic答案</t>
        </is>
      </c>
      <c r="AA3" s="3" t="inlineStr">
        <is>
          <t>Agentic错误</t>
        </is>
      </c>
      <c r="AB3" s="3" t="inlineStr">
        <is>
          <t>WeKnora评判</t>
        </is>
      </c>
      <c r="AC3" s="3" t="inlineStr">
        <is>
          <t>WeKnora query状态</t>
        </is>
      </c>
      <c r="AD3" s="3" t="inlineStr">
        <is>
          <t>WeKnora问答s</t>
        </is>
      </c>
      <c r="AE3" s="3" t="inlineStr">
        <is>
          <t>WeKnora search次数</t>
        </is>
      </c>
      <c r="AF3" s="3" t="inlineStr">
        <is>
          <t>WeKnora引用数</t>
        </is>
      </c>
      <c r="AG3" s="3" t="inlineStr">
        <is>
          <t>WeKnora文档召回</t>
        </is>
      </c>
      <c r="AH3" s="3" t="inlineStr">
        <is>
          <t>WeKnora命中gold</t>
        </is>
      </c>
      <c r="AI3" s="3" t="inlineStr">
        <is>
          <t>WeKnora检索文档数</t>
        </is>
      </c>
      <c r="AJ3" s="3" t="inlineStr">
        <is>
          <t>WeKnora评判原因</t>
        </is>
      </c>
      <c r="AK3" s="3" t="inlineStr">
        <is>
          <t>WeKnora答案</t>
        </is>
      </c>
      <c r="AL3" s="3" t="inlineStr">
        <is>
          <t>WeKnora错误</t>
        </is>
      </c>
      <c r="AM3" s="3" t="inlineStr">
        <is>
          <t>胜者</t>
        </is>
      </c>
      <c r="AN3" s="3" t="inlineStr">
        <is>
          <t>对比理由</t>
        </is>
      </c>
      <c r="AO3" s="3" t="inlineStr">
        <is>
          <t>评判是否一致</t>
        </is>
      </c>
    </row>
    <row r="4">
      <c r="A4" s="5" t="inlineStr">
        <is>
          <t>q_1hop_0001</t>
        </is>
      </c>
      <c r="B4" s="12" t="n">
        <v>1</v>
      </c>
      <c r="C4" s="5" t="inlineStr">
        <is>
          <t>我们在开发一款用于儿童玩具的柔性聚氯乙烯（PVC）糊树脂配方，正在评估伊士曼（Eastman）的苯甲酸酯增塑剂 Benzoflex™ VP-953。请确认该产品是否适用于此类应用，并列出其关键物理参数（比重、粘度、闪点）及酸度上限，以便我们进行工艺和安全评估。</t>
        </is>
      </c>
      <c r="D4" s="5" t="inlineStr">
        <is>
          <t>Benzoflex™ VP-953 适用于儿童用品和聚氯乙烯糊树脂应用。其关键参数为：比重 1.16（20℃/20℃），粘度 65 cP（25℃），闪点 186 °C（367 °F，闭杯法），酸度最大 0.3 wt%。</t>
        </is>
      </c>
      <c r="E4" s="38" t="n">
        <v>100</v>
      </c>
      <c r="F4" s="12" t="n">
        <v>1</v>
      </c>
      <c r="G4" s="12" t="n">
        <v>1</v>
      </c>
      <c r="H4" s="12" t="n">
        <v>8</v>
      </c>
      <c r="I4" s="5" t="inlineStr">
        <is>
          <t>4936ba9ba2bcd1eff72edfaa21a51394.pdf</t>
        </is>
      </c>
      <c r="J4" s="5" t="inlineStr">
        <is>
          <t>正确</t>
        </is>
      </c>
      <c r="K4" s="12" t="n">
        <v>1</v>
      </c>
      <c r="L4" s="41" t="n">
        <v>13.61646696808748</v>
      </c>
      <c r="M4" s="41" t="n">
        <v>1.070085012819618</v>
      </c>
      <c r="N4" s="41" t="n">
        <v>1.070085012819618</v>
      </c>
      <c r="O4" s="12" t="n">
        <v>1</v>
      </c>
      <c r="P4" s="12" t="n">
        <v>4</v>
      </c>
      <c r="Q4" s="41" t="n">
        <v>2e-06</v>
      </c>
      <c r="R4" s="41" t="n">
        <v>4e-06</v>
      </c>
      <c r="S4" s="41" t="n">
        <v>0.02595</v>
      </c>
      <c r="T4" s="41" t="n">
        <v>0.002384</v>
      </c>
      <c r="U4" s="41" t="n">
        <v>0.298318</v>
      </c>
      <c r="V4" s="41" t="n">
        <v>0.317915</v>
      </c>
      <c r="W4" s="12" t="n">
        <v>29350</v>
      </c>
      <c r="X4" s="12" t="n">
        <v>8</v>
      </c>
      <c r="Y4" s="5" t="inlineStr">
        <is>
          <t>适用性判断准确，比重 1.16、粘度 65 cP、闪点 186 °C（闭杯）、酸度 0.3 wt% 均与标准答案和 TDS 完全一致，并补充了测试条件及工艺安全提示。</t>
        </is>
      </c>
      <c r="Z4" s="5" t="inlineStr">
        <is>
          <t>## 结论：适用
伊士曼（Eastman Chemical Company）的 **Benzoflex™ VP-953** 是专为**聚氯乙烯糊树脂（Vinyl plastisols）**设计的苯甲酸酯增塑剂，官方 TDS 明确将**儿童用品（Childcare items）、玩具（Toys）、柔性 PVC 化合物（Flexible PVC compounds）**列为应用领域，因此**适用于你们开发的儿童玩具柔性 PVC 糊树脂配方**。它同时被定位为高溶解性邻苯二甲酸酯增塑剂的替代品。
## 关键物理参数（TDS 典型值）
| 参数 | 数值 | 测试条件 |
|---|---|---|
| **比重 (Specific Gravity)** | 1.16 | 20℃/20℃ |
| **粘度 (Viscosity)** | 65 cP（65 mPa·s） | 25℃ |
| **闪点 (Flash Point)** | 367 °F（186 °C） | Setaflash 闭杯法 |
| **酸度上限 (Acidity)** | 0.3 wt%（max） | — |
补充参考（同表）：颜色 Pt-Co 100–140；折射率 1.53（25℃）；沸点 &gt;662 °F（&gt;350 °C）；凝固点 &lt;61 °F（&lt;16 °C）；蒸气压 &lt;0.0001 torr（&lt;0.0133 Pa，20℃）；重量/体积 9.68 lb/gal（1.16 kg/L，20℃）。
## 工艺与安全提示
- **闪点 186 °C（闭杯）**：属较高闪点，常规糊树脂搅拌/涂布温度下挥发与燃爆风险较低，但仍应按可燃液体管理，避免高温局部过热。
- **凝固点 &lt;16 °C**：冬季或低温储运时注意保温，防止凝固影响计量与泵送。
- **酸度 ≤0.3 wt%**：用于糊树脂时酸度偏高可能影响糊液稳定性与 PVC 降解，建议按此上限做来料检验。
- **粘度 65 cP（25℃）**：流动性良好，便于糊液配制与计量。
## 重要免责说明
TDS 注明以上属性为**平均批次典型值**，Eastman 不保证特定发货批次完全符合给定数值；产品适用性、完整性及环保/健康安全合规性需由你们自行评估确认。儿童玩具用途建议另行核对目标市场的玩具安全法规（如邻苯二甲酸酯/迁移限量、食品接触等）要求。
（来源：Eastman Benzoflex™ VP-953 技术数据表，doc_id=124，文件日期 2018/10/28，© 2025 Eastman Chemical Company）</t>
        </is>
      </c>
      <c r="AA4" s="5" t="n"/>
      <c r="AB4" s="5" t="inlineStr">
        <is>
          <t>错误</t>
        </is>
      </c>
      <c r="AC4" s="12" t="n">
        <v>1</v>
      </c>
      <c r="AD4" s="41" t="n">
        <v>4.754460555966944</v>
      </c>
      <c r="AE4" s="12" t="n">
        <v>1</v>
      </c>
      <c r="AF4" s="12" t="n">
        <v>10</v>
      </c>
      <c r="AG4" s="38" t="n">
        <v>100</v>
      </c>
      <c r="AH4" s="12" t="n">
        <v>1</v>
      </c>
      <c r="AI4" s="12" t="n">
        <v>10</v>
      </c>
      <c r="AJ4" s="5" t="inlineStr">
        <is>
          <t>适用性判断正确，但比重（1.120 vs 1.16）、粘度（120 vs 65 cP）、闪点（199 vs 186 °C）、酸度（&lt;0.1 vs 0.3 wt%）四项关键参数全部与标准答案及参考文档不符，无法支撑工艺和安全评估。</t>
        </is>
      </c>
      <c r="AK4" s="5" t="inlineStr">
        <is>
          <t>根据检索到的信息，**Benzoflex™ VP-953 增塑剂** 是伊士曼（Eastman）的一款苯甲酸酯类增塑剂，**专门为乙烯基塑料溶胶设计**，可作为高溶解性邻苯二甲酸酯增塑剂的优良替代品。该产品适用于柔性聚氯乙烯（PVC）糊树脂配方，满足您在儿童玩具应用中的工艺与安全评估需求。
以下是其关键物理参数及酸度上限的汇总：
| 参数 | 典型值 |
| :--- | :--- |
| **比重** | 1.120 |
| **粘度** | 120 cP |
| **闪点** | 199 °C |
| **酸度上限（以醋酸计）** | &lt; 0.1 wt % |
&lt;kb doc="4936ba9ba2bcd1eff72edfaa21a51394.pdf" chunk_id="54e6c4a9-661c-4914-acfe-84133a43eb41" kb_id="677e7f95-5530-4872-8412-55abbe459b7f" /&gt;</t>
        </is>
      </c>
      <c r="AL4" s="5" t="n"/>
      <c r="AM4" s="47" t="inlineStr">
        <is>
          <t>Agentic</t>
        </is>
      </c>
      <c r="AN4" s="5" t="inlineStr">
        <is>
          <t>A 的适用性虽对但四项核心数值全部错误，B 所有参数准确且附带测试条件与实用安全提示，质量差距显著。</t>
        </is>
      </c>
      <c r="AO4" s="5" t="inlineStr">
        <is>
          <t>否</t>
        </is>
      </c>
    </row>
    <row r="5">
      <c r="A5" s="7" t="inlineStr">
        <is>
          <t>q_1hop_0002</t>
        </is>
      </c>
      <c r="B5" s="15" t="n">
        <v>1</v>
      </c>
      <c r="C5" s="7" t="inlineStr">
        <is>
          <t>我们在采购韩国锦湖石化（Korea Kumho Petrochemical Co., Ltd.）的通用级聚苯乙烯（GPFS）产品，具体涉及牌号 GP125、GP125E、GP125EB、GP125G、GP150E、GP150I 和 GP150K。请确认这些牌号对应的化学成分名称及其 CAS 号，并说明该成分在 SDS 中列出的含量百分比范围。</t>
        </is>
      </c>
      <c r="D5" s="7" t="inlineStr">
        <is>
          <t>这些牌号对应的化学成分名称为苯乙烯均聚物（或聚苯乙烯，英文 Ethynylbenzene homopolymer; Polystyrene），其 CAS 号为 9003-53-6。根据 SDS 成分/组成信息，该成分的含量百分比为 99–100%。</t>
        </is>
      </c>
      <c r="E5" s="39" t="n">
        <v>100</v>
      </c>
      <c r="F5" s="15" t="n">
        <v>1</v>
      </c>
      <c r="G5" s="15" t="n">
        <v>1</v>
      </c>
      <c r="H5" s="15" t="n">
        <v>8</v>
      </c>
      <c r="I5" s="7" t="inlineStr">
        <is>
          <t>0a08de89a5df8f5df5501b72224f8a1b.pdf</t>
        </is>
      </c>
      <c r="J5" s="7" t="inlineStr">
        <is>
          <t>正确</t>
        </is>
      </c>
      <c r="K5" s="15" t="n">
        <v>1</v>
      </c>
      <c r="L5" s="42" t="n">
        <v>10.58954391488805</v>
      </c>
      <c r="M5" s="42" t="n">
        <v>1.894039386184886</v>
      </c>
      <c r="N5" s="42" t="n">
        <v>1.894039386184886</v>
      </c>
      <c r="O5" s="15" t="n">
        <v>1</v>
      </c>
      <c r="P5" s="15" t="n">
        <v>3</v>
      </c>
      <c r="Q5" s="42" t="n">
        <v>2e-06</v>
      </c>
      <c r="R5" s="42" t="n">
        <v>4e-06</v>
      </c>
      <c r="S5" s="42" t="n">
        <v>0.001448</v>
      </c>
      <c r="T5" s="42" t="n">
        <v>0.001521</v>
      </c>
      <c r="U5" s="42" t="n">
        <v>1.034478</v>
      </c>
      <c r="V5" s="42" t="n">
        <v>0.458966</v>
      </c>
      <c r="W5" s="15" t="n">
        <v>23368</v>
      </c>
      <c r="X5" s="15" t="n">
        <v>8</v>
      </c>
      <c r="Y5" s="7" t="inlineStr">
        <is>
          <t>完整给出了化学成分名称（苯乙烯均聚物/Polystyrene）、CAS号（9003-53-6）和含量百分比（99–100%），与标准答案及参考文档第3节完全一致，并补充了物理形态等有用信息。</t>
        </is>
      </c>
      <c r="Z5" s="7" t="inlineStr">
        <is>
          <t>根据知识库中韩国锦湖石化（Korea Kumho Petrochemical Co., Ltd.）的 SDS 文件（记录编号 CSSS-TCO-010-153196，版本 1.0，修订日期 2023 年 2 月 1 日），确认如下：
## 化学成分信息
| 项目 | 内容 |
|------|------|
| **适用牌号** | GP125、GP125E、GP125EB、GP125G、GP150E、GP150I、GP150K |
| **产品类别** | 通用级聚苯乙烯（General Purpose GPFS / GPPS） |
| **化学成分名称** | 苯乙烯均聚物（Polystyrene） |
| **CAS 号** | **9003-53-6** |
| **SDS 含量百分比** | **99–100%** |
## 补充说明
- 上述 7 个牌号共用同一份 SDS，化学成分完全一致，均为苯乙烯均聚物，CAS 号 9003-53-6，含量范围 99–100%。
- 物理形态：无色颗粒状固体，具有轻微气味，不溶于水，相对密度 1.03–1.05。
- GHS 分类：物理、健康及环境危害均未分类，无危险象形图及信号词。
- 主要安全注意事项：避免接触强氧化剂；操作时需消除点火源，避免接触热源、火花或火焰；储存于原容器紧密关闭且避免潮湿环境。
如需进一步了解这些牌号的具体物性指标（如熔融指数、密度、冲击强度等），可以继续查询。</t>
        </is>
      </c>
      <c r="AA5" s="7" t="n"/>
      <c r="AB5" s="7" t="inlineStr">
        <is>
          <t>错误</t>
        </is>
      </c>
      <c r="AC5" s="15" t="n">
        <v>1</v>
      </c>
      <c r="AD5" s="42" t="n">
        <v>5.952977972105145</v>
      </c>
      <c r="AE5" s="15" t="n">
        <v>1</v>
      </c>
      <c r="AF5" s="15" t="n">
        <v>8</v>
      </c>
      <c r="AG5" s="39" t="n">
        <v>0</v>
      </c>
      <c r="AH5" s="15" t="n">
        <v>0</v>
      </c>
      <c r="AI5" s="15" t="n">
        <v>8</v>
      </c>
      <c r="AJ5" s="7" t="inlineStr">
        <is>
          <t>声称SDS第3节内容未提供、含量百分比未列出，与参考文档矛盾；仅以'通常'口吻提及9003-53-6，未正面确认化学成分名称、CAS号及含量范围，未答到问题核心要求。</t>
        </is>
      </c>
      <c r="AK5" s="7" t="inlineStr">
        <is>
          <t>根据您提供的锦湖石化 GPPS 产品安全数据表（SDS），以下是您所询牌号对应的化学成分信息：
| 产品牌号 | 化学成分名称 | CAS 号 | SDS 中列出的含量百分比范围 |
| :--- | :--- | :--- | :--- |
| GP125, GP125E, GP125EB, GP125G, GP150E, GP150I, GP150K | 通用级聚苯乙烯 (GPPS) | 参见第 3 节 (See section 3) | 未明确列出具体百分比范围 |
**说明：**
1.  **化学成分与 CAS 号**：该 SDS 在第 1 节（标识）中指出，这些牌号产品的 CAS 号需参见第 3 节（成分/信息）。然而，在该 SDS 文档中，第 3 节的内容**未提供**，因此无法直接确认具体的化学成分名称及其 CAS 号。通常，GPPS 的主要成分为聚苯乙烯（Polystyrene），其 CAS 号为 9003-53-6。
2.  **含量百分比**：SDS 中同样**未列出**这些牌号中各组分的具体含量百分比范围。
建议您联系锦湖石化或供应商，获取该 SDS 的完整版本（特别是第 3 节内容），以获取准确的化学成分、CAS 号及含量信息。</t>
        </is>
      </c>
      <c r="AL5" s="7" t="n"/>
      <c r="AM5" s="47" t="inlineStr">
        <is>
          <t>Agentic</t>
        </is>
      </c>
      <c r="AN5" s="7" t="inlineStr">
        <is>
          <t>A 直接、准确地确认了全部三项要点（成分名称、CAS号、含量百分比），B 则错误地声称信息缺失，未能给出确定性答案。</t>
        </is>
      </c>
      <c r="AO5" s="7" t="inlineStr">
        <is>
          <t>否</t>
        </is>
      </c>
    </row>
    <row r="6">
      <c r="A6" s="5" t="inlineStr">
        <is>
          <t>q_1hop_0003</t>
        </is>
      </c>
      <c r="B6" s="12" t="n">
        <v>1</v>
      </c>
      <c r="C6" s="5" t="inlineStr">
        <is>
          <t>我们在采购韩国锦湖石化（Korea Kumho Petrochemical Co., Ltd.）生产的 ABS 750 树脂时，需要确认其安全合规性。请问该产品的 GHS 分类状态如何？其 NFPA 健康、易燃性和反应性评级分别是多少？另外，如果发生泄漏，根据 SDS 建议，对于小量泄漏应采取哪些具体的围堵和清理措施？</t>
        </is>
      </c>
      <c r="D6" s="5" t="inlineStr">
        <is>
          <t>韩国锦湖石化生产的 ABS 750 树脂的 GHS 分类为“不适用”（Not applicable）。其 NFPA 评级为：健康（Health）0 级，易燃性（Flammability）0 级，反应性（Reactivity）0 级。对于小量泄漏，建议措施包括：移除所有点火源、抑制粉尘产生、使用适当的容器处置收集到的泄漏材料、通风泄漏区域并清理泄漏区域。</t>
        </is>
      </c>
      <c r="E6" s="38" t="n">
        <v>0</v>
      </c>
      <c r="F6" s="12" t="n">
        <v>0</v>
      </c>
      <c r="G6" s="12" t="n">
        <v>1</v>
      </c>
      <c r="H6" s="12" t="n">
        <v>8</v>
      </c>
      <c r="I6" s="5" t="inlineStr">
        <is>
          <t>a618febb1f11fe921936a3290a076b7f.pdf</t>
        </is>
      </c>
      <c r="J6" s="5" t="inlineStr">
        <is>
          <t>正确</t>
        </is>
      </c>
      <c r="K6" s="12" t="n">
        <v>1</v>
      </c>
      <c r="L6" s="41" t="n">
        <v>17.21589249907993</v>
      </c>
      <c r="M6" s="41" t="n">
        <v>1.936652967007831</v>
      </c>
      <c r="N6" s="41" t="n">
        <v>1.936652967007831</v>
      </c>
      <c r="O6" s="12" t="n">
        <v>1</v>
      </c>
      <c r="P6" s="12" t="n">
        <v>4</v>
      </c>
      <c r="Q6" s="41" t="n">
        <v>2e-06</v>
      </c>
      <c r="R6" s="41" t="n">
        <v>4e-06</v>
      </c>
      <c r="S6" s="41" t="n">
        <v>0.006338</v>
      </c>
      <c r="T6" s="41" t="n">
        <v>0.009627</v>
      </c>
      <c r="U6" s="41" t="n">
        <v>0.96998</v>
      </c>
      <c r="V6" s="41" t="n">
        <v>0.5584519999999999</v>
      </c>
      <c r="W6" s="12" t="n">
        <v>48226</v>
      </c>
      <c r="X6" s="12" t="n">
        <v>9</v>
      </c>
      <c r="Y6" s="5" t="inlineStr">
        <is>
          <t>GHS 分类、NFPA 三项评级均与标准答案完全一致；小量泄漏四条措施（移除点火源、抑制粉尘、容器处置、通风清理）逐条对应 SDS 原文，并补充了个人/环境预防措施，信息完整准确。</t>
        </is>
      </c>
      <c r="Z6" s="5" t="inlineStr">
        <is>
          <t>## 结论
依据 Korea Kumho Petrochemical Co., Ltd.（锦湖石化）出具的 ABS 树脂 SDS（修订日期 2023.04.20，覆盖 ABS 750 等 30 余个型号），该产品的安全合规性如下：
### 1. GHS 分类状态
- **GHS 分类：不适用（Not applicable）**
- GHS 标签要素（危险象形图、信号词、危险性说明、防范说明）**均不适用**
- 即该产品未被 GHS 归类为任何危险类别，无需贴 GHS 危险标签。
### 2. NFPA 评级（0~4 级）
| 项目 | 评级 |
|---|---|
| 健康（Health） | **0** |
| 易燃性（Flammability） | **0** |
| 反应性（Reactivity） | **0** |
三项均为最低等级 0，表明在正常条件下健康危害、可燃性和反应性风险都很低。
### 3. 小量泄漏的围堵与清理措施（SDS 第 6 节）
**围堵与清理（C 项）：**
1. 移除所有点火源；
2. 抑制粉尘产生；
3. 使用适当的容器收集并处理泄漏物；
4. 通风泄漏区域并清理泄漏区域。
**配套的个人/环境预防措施（A、B 项）：**
- 穿戴适当的个人防护装备（PPE）；
- 若为熔融物泄漏，在可能的情况下通过机械和化学手段使其固化；
- 避免与眼睛和皮肤接触，避免吸入该物质本身或燃烧产物；
- 逆风撤离；避免接触热源、火花、火焰或其他点火源；
- 避免泄漏物和径流进入水道、排水沟和下水道；
- 若发生**大量泄漏**，应通知紧急服务部门。
&gt; 补充说明：该 SDS 为锦湖石化 ABS 系列（含 ABS 750）的通用安全数据表，主要成分为丙烯腈-丁二烯-苯乙烯共聚物（CAS 9003-56-9，含量 97~100%），另含 0~1% 稳定剂和 0~3% 润滑剂（成分为专有信息）。如需针对 ABS 750 单型号的更细项（如具体暴露限值、毒理数据），SDS 中相应条目均标注为"无数据/不适用"。</t>
        </is>
      </c>
      <c r="AA6" s="5" t="n"/>
      <c r="AB6" s="5" t="inlineStr">
        <is>
          <t>正确</t>
        </is>
      </c>
      <c r="AC6" s="12" t="n">
        <v>1</v>
      </c>
      <c r="AD6" s="41" t="n">
        <v>8.325919607887045</v>
      </c>
      <c r="AE6" s="12" t="n">
        <v>1</v>
      </c>
      <c r="AF6" s="12" t="n">
        <v>10</v>
      </c>
      <c r="AG6" s="38" t="n">
        <v>0</v>
      </c>
      <c r="AH6" s="12" t="n">
        <v>0</v>
      </c>
      <c r="AI6" s="12" t="n">
        <v>10</v>
      </c>
      <c r="AJ6" s="5" t="inlineStr">
        <is>
          <t>GHS 和 NFPA 评级均正确；小量泄漏措施答到了抑制粉尘、容器收集、通风清理三条核心要点，但缺少 SDS 中明确列出的'移除所有点火源'，且自述为通用建议而非实际 SDS 原文。</t>
        </is>
      </c>
      <c r="AK6" s="5" t="inlineStr">
        <is>
          <t>根据您提供的韩国锦湖石化 ABS 750 树脂相关安全数据表（SDS），以下是该产品的安全合规性信息：
### GHS 分类状态
该产品（ABS 750系列，包括ABS 750U、ABS 750FU等型号）**未被 GHS（全球化学品统一分类和标签制度）分类为危险品**。&lt;kb doc="519a489734c454668ef4dfd39254a506.pdf" chunk_id="a91b7d00-ea2b-43b8-890a-fdce0f75fe02" kb_id="677e7f95-5530-4872-8412-55abbe459b7f" /&gt;
### NFPA 评级
该产品的 NFPA（美国消防协会）评级如下：&lt;kb doc="519a489734c454668ef4dfd39254a506.pdf" chunk_id="a91b7d00-ea2b-43b8-890a-fdce0f75fe02" kb_id="677e7f95-5530-4872-8412-55abbe459b7f" /&gt;
- **健康（Health）：0** —— 在火灾条件下，该材料不会带来超出普通可燃材料之外的额外健康危害。
- **易燃性（Flammability）：0** —— 该材料不会燃烧。
- **反应性（Reactivity）：0** —— 该材料在正常条件下是稳定的，即使在火灾暴露下也通常不会发生危险反应。
### 小量泄漏的围堵和清理措施
根据该产品的安全数据表（SDS）中的“泄漏应急处理”部分，对于小量泄漏，建议采取以下具体措施：&lt;kb doc="519a489734c454668ef4dfd39254a506.pdf" chunk_id="a91b7d00-ea2b-43b8-890a-fdce0f75fe02" kb_id="677e7f95-5530-4872-8412-55abbe459b7f" /&gt;
&gt; **注：** 由于检索到的文档摘要中未提供泄漏处理部分的完整原文细节，以下措施是基于该类型ABS树脂SDS的通用标准操作给出的建议，建议您在最终操作前查阅该产品的完整SDS文档以确认具体细节。
通常，对于此类树脂颗粒或粉末的小量泄漏，典型的围堵和清理措施包括：
1.  **防止扬尘**：避免使用刷子或压缩空气，以减少粉尘在空气中的扩散。
2.  **物理收集**：使用防爆吸尘器或干净的扫帚和簸箕将泄漏物小心地收集起来。
3.  **容器盛装**：将收集起来的物质放入贴有标签的、清洁、干燥且密闭的容器中，以便后续处理或回收。
4.  **清洁区域**：用湿布或湿拖把清理残留的粉尘，避免产生扬尘。
5.  **通风**：确保泄漏区域有足够的通风，以降低空气中任何可能的粉尘浓度。</t>
        </is>
      </c>
      <c r="AL6" s="5" t="n"/>
      <c r="AM6" s="47" t="inlineStr">
        <is>
          <t>Agentic</t>
        </is>
      </c>
      <c r="AN6" s="5" t="inlineStr">
        <is>
          <t>B 的小量泄漏措施完全贴合 SDS 原文四条要点（含 A 遗漏的'移除所有点火源'），且额外补充了配套预防措施，整体更准确、更完整。</t>
        </is>
      </c>
      <c r="AO6" s="5" t="inlineStr">
        <is>
          <t>是</t>
        </is>
      </c>
    </row>
    <row r="7">
      <c r="A7" s="7" t="inlineStr">
        <is>
          <t>q_1hop_0004</t>
        </is>
      </c>
      <c r="B7" s="15" t="n">
        <v>1</v>
      </c>
      <c r="C7" s="7" t="inlineStr">
        <is>
          <t>我们工厂正在评估使用伊士曼（Eastman）生产的56%稀醋酸作为工业清洁剂和衬里工艺的原料。请确认该产品的具体含量范围及目标值，并说明其外观和颜色（铂-钴色度）的技术指标，以便我们制定进料检验标准。</t>
        </is>
      </c>
      <c r="D7" s="7" t="inlineStr">
        <is>
          <t>伊士曼56%稀醋酸（Eastman™ Dilute Acetic Acid, 56%）的含量（Assay）范围为54.5%-57.5%，目标值为56%。其外观要求为清澈且无悬浮物，颜色（铂-钴色度，Pt-Co）应小于10。</t>
        </is>
      </c>
      <c r="E7" s="39" t="n">
        <v>100</v>
      </c>
      <c r="F7" s="15" t="n">
        <v>1</v>
      </c>
      <c r="G7" s="15" t="n">
        <v>1</v>
      </c>
      <c r="H7" s="15" t="n">
        <v>17</v>
      </c>
      <c r="I7" s="7" t="inlineStr">
        <is>
          <t>985d25a33ac6e869f36fac8ebb00ba59.pdf</t>
        </is>
      </c>
      <c r="J7" s="7" t="inlineStr">
        <is>
          <t>正确</t>
        </is>
      </c>
      <c r="K7" s="15" t="n">
        <v>1</v>
      </c>
      <c r="L7" s="42" t="n">
        <v>472.8207901241258</v>
      </c>
      <c r="M7" s="42" t="n">
        <v>454.528165460797</v>
      </c>
      <c r="N7" s="42" t="n">
        <v>151.5093884869324</v>
      </c>
      <c r="O7" s="15" t="n">
        <v>3</v>
      </c>
      <c r="P7" s="15" t="n">
        <v>5</v>
      </c>
      <c r="Q7" s="42" t="n">
        <v>5.999999999999999e-06</v>
      </c>
      <c r="R7" s="42" t="n">
        <v>1.1e-05</v>
      </c>
      <c r="S7" s="42" t="n">
        <v>0.005372</v>
      </c>
      <c r="T7" s="42" t="n">
        <v>0.004043</v>
      </c>
      <c r="U7" s="42" t="n">
        <v>182.06494</v>
      </c>
      <c r="V7" s="42" t="n">
        <v>271.258582</v>
      </c>
      <c r="W7" s="15" t="n">
        <v>55133</v>
      </c>
      <c r="X7" s="15" t="n">
        <v>17</v>
      </c>
      <c r="Y7" s="7" t="inlineStr">
        <is>
          <t>完整给出了含量范围54.5%-57.5%、目标值56%、外观清澈无悬浮物、Pt-Co&lt;10，并额外确认了用途匹配及检验标准制定建议，核心要点全部覆盖。</t>
        </is>
      </c>
      <c r="Z7" s="7" t="inlineStr">
        <is>
          <t>已核实完毕。以下是伊士曼（Eastman）56% 稀醋酸的技术指标，可直接用于制定进料检验标准。
## 产品确认
- **产品名称**：Eastman™ 稀醋酸，56%（Eastman™ Dilute Acetic Acid, 56%）
- **生产商**：Eastman Chemical Company 或其子公司
- **化学式 / 分子量**：C₂H₄O₂ / 60.06
- **形态**：液体
- **来源文档**：技术数据表（TDS），时间戳 2019/8/21，版权 © 2025
## 进料检验关键指标
| 项目 | 技术指标 | 备注 |
|------|----------|------|
| **含量（Assay）** | **54.5 – 57.5 %** | 目标值（Target）= **56 %** |
| **外观（Appearance）** | **清澈且无悬浮物**（Clear and free from suspended matter） | 液体 |
| **颜色（铂-钴色度 Pt-Co）** | **&lt; 10** | 比色法 |
## 用途匹配
该 TDS 列明的应用领域正好覆盖你们的两个用途：**工业清洁剂（Industrial cleaners）** 和 **衬里（Linings）**，此外还包括机构用清洁剂、硬表面护理、中间体、工艺助剂、建筑与民用粘合剂/密封剂。
## 制定检验标准时的注意事项
1. **数值性质**：TDS 明确声明"此处报告的性质为**平均批次的典型值**，Eastman 不保证任何特定发货批次中的材料将完全符合所给出的数值"。因此建议把 54.5–57.5% 作为**合格判定区间（规格限）**，56% 作为**目标/标称值**，而非单点验收值。
2. **本 TDS 未给出的项目**：该 56% 规格表**未列出比重（Specific Gravity）、沸点、闪点**等物理参数（同系列 84%、65% 等浓度有列，但 56% 这一份没有）。如果你们的进料检验需要比重/密度或闪点等指标，需向伊士曼索取补充数据，或参考同系列其他浓度 TDS 作近似——但**不要**把其他浓度的数值直接套用到 56% 上。
3. **安全/合规**：TDS 免责声明要求用户自行确定产品针对自身用途、环境保护及员工与购买者健康安全的适用性，卖方不对适销性或特定用途适用性作保证。醋酸具腐蚀性，清洁剂/衬里工艺请另行核对 MSDS/SDS 及相应 PPE 与相容性要求。
如需，我可以进一步检索该产品的 SDS（安全数据表）或同系列其他浓度（如 60%、65%）的完整物理参数，供你们交叉参考。</t>
        </is>
      </c>
      <c r="AA7" s="7" t="n"/>
      <c r="AB7" s="7" t="inlineStr">
        <is>
          <t>正确</t>
        </is>
      </c>
      <c r="AC7" s="15" t="n">
        <v>1</v>
      </c>
      <c r="AD7" s="42" t="n">
        <v>5.335077621974051</v>
      </c>
      <c r="AE7" s="15" t="n">
        <v>1</v>
      </c>
      <c r="AF7" s="15" t="n">
        <v>10</v>
      </c>
      <c r="AG7" s="39" t="n">
        <v>100</v>
      </c>
      <c r="AH7" s="15" t="n">
        <v>1</v>
      </c>
      <c r="AI7" s="15" t="n">
        <v>10</v>
      </c>
      <c r="AJ7" s="7" t="inlineStr">
        <is>
          <t>同样给出了含量范围54.5%-57.5%、目标值56%、外观清澈无悬浮物、Pt-Co&lt;10，核心数据完整准确。</t>
        </is>
      </c>
      <c r="AK7" s="7" t="inlineStr">
        <is>
          <t>根据伊士曼（Eastman）官方技术数据表，您所查询的 **Eastman™ 56%稀释乙酸** 的具体技术指标如下，可供制定进料检验标准参考：
| 检验项目 | 技术指标 | 说明 |
| :--- | :--- | :--- |
| **含量（醋酸浓度）** | **54.5% – 57.5%** | 范围值，目标值（标称值）为 **56%** &lt;kb doc="985d25a33ac6e869f36fac8ebb00ba59.pdf" chunk_id="a119c181-8ba2-41a8-a6a4-af12870934e5" kb_id="677e7f95-5530-4872-8412-55abbe459b7f" /&gt; |
| **外观** | **清澈液体**（Clear liquid），无悬浮物 | 目视检查应无可见杂质&lt;kb doc="985d25a33ac6e869f36fac8ebb00ba59.pdf" chunk_id="a119c181-8ba2-41a8-a6a4-af12870934e5" kb_id="677e7f95-5530-4872-8412-55abbe459b7f" /&gt; |
| **颜色（铂-钴色度）** | **Pt-Co &lt; 10** | 即APHA色度小于10，接近无色&lt;kb doc="985d25a33ac6e869f36fac8ebb00ba59.pdf" chunk_id="a119c181-8ba2-41a8-a6a4-af12870934e5" kb_id="677e7f95-5530-4872-8412-55abbe459b7f" /&gt; |
&gt; **备注**：以上数据为典型批次平均值，Eastman 公司不保证每批货物完全一致，建议在进料检验时结合批次分析证书（COA）进行最终判定。&lt;kb doc="985d25a33ac6e869f36fac8ebb00ba59.pdf" chunk_id="a119c181-8ba2-41a8-a6a4-af12870934e5" kb_id="677e7f95-5530-4872-8412-55abbe459b7f" /&gt;</t>
        </is>
      </c>
      <c r="AL7" s="7" t="n"/>
      <c r="AM7" s="47" t="inlineStr">
        <is>
          <t>Agentic</t>
        </is>
      </c>
      <c r="AN7" s="7" t="inlineStr">
        <is>
          <t>两者核心数据均正确，但A额外确认了工业清洁剂和衬里两个用途的匹配、给出了将范围作为合格判定区间的实操建议、提醒了TDS未列出的物理参数及安全合规注意事项，对'制定进料检验标准'这一目的更具实际指导价值。</t>
        </is>
      </c>
      <c r="AO7" s="7" t="inlineStr">
        <is>
          <t>是</t>
        </is>
      </c>
    </row>
    <row r="8">
      <c r="A8" s="5" t="inlineStr">
        <is>
          <t>q_1hop_0005</t>
        </is>
      </c>
      <c r="B8" s="12" t="n">
        <v>1</v>
      </c>
      <c r="C8" s="5" t="inlineStr">
        <is>
          <t>我们在评估使用伊士曼（Eastman）提供的65%水溶液形式的冰醋酸（Dilute Acetic Acid, 65% in Water）来替代纯冰醋酸，以节省加热储罐成本。请问该产品的典型闪点（Tag Open Cup）范围是多少？其在水中的溶解性如何？</t>
        </is>
      </c>
      <c r="D8" s="5" t="inlineStr">
        <is>
          <t>伊士曼65%水溶液形式的冰醋酸典型闪点（Tag Open Cup）范围为71-91 °C (159-196 °F)；其在水中的溶解性为完全溶解（Complete）。</t>
        </is>
      </c>
      <c r="E8" s="38" t="n">
        <v>100</v>
      </c>
      <c r="F8" s="12" t="n">
        <v>1</v>
      </c>
      <c r="G8" s="12" t="n">
        <v>1</v>
      </c>
      <c r="H8" s="12" t="n">
        <v>8</v>
      </c>
      <c r="I8" s="5" t="inlineStr">
        <is>
          <t>8fea7cfae570c97b6e51564c21fc0a6a.pdf</t>
        </is>
      </c>
      <c r="J8" s="5" t="inlineStr">
        <is>
          <t>正确</t>
        </is>
      </c>
      <c r="K8" s="12" t="n">
        <v>1</v>
      </c>
      <c r="L8" s="41" t="n">
        <v>189.2217376958579</v>
      </c>
      <c r="M8" s="41" t="n">
        <v>181.5036814711057</v>
      </c>
      <c r="N8" s="41" t="n">
        <v>181.5036814711057</v>
      </c>
      <c r="O8" s="12" t="n">
        <v>1</v>
      </c>
      <c r="P8" s="12" t="n">
        <v>4</v>
      </c>
      <c r="Q8" s="41" t="n">
        <v>2e-06</v>
      </c>
      <c r="R8" s="41" t="n">
        <v>3e-06</v>
      </c>
      <c r="S8" s="41" t="n">
        <v>0.019399</v>
      </c>
      <c r="T8" s="41" t="n">
        <v>0.016314</v>
      </c>
      <c r="U8" s="41" t="n">
        <v>90.698684</v>
      </c>
      <c r="V8" s="41" t="n">
        <v>90.37724300000001</v>
      </c>
      <c r="W8" s="12" t="n">
        <v>24366</v>
      </c>
      <c r="X8" s="12" t="n">
        <v>8</v>
      </c>
      <c r="Y8" s="5" t="inlineStr">
        <is>
          <t>准确给出闪点71–91 °C（159–196 °F）和水中溶解性为完全溶解（Complete），与标准答案完全一致，并补充了沸点、比重及批次注意事项等实用信息。</t>
        </is>
      </c>
      <c r="Z8" s="5" t="inlineStr">
        <is>
          <t>## 结论
针对 **Eastman™ Dilute Acetic Acid, 65% in Water**（伊士曼 65% 水溶液冰醋酸）：
| 项目 | 典型值 |
|------|--------|
| **闪点（Flash Point, Tag Open Cup）** | **71–91 °C（159–196 °F）** |
| **水中溶解度（Solubility in Water）** | **完全溶解（Complete）** |
### 补充说明
- **闪点**：71–91 °C 是 Tag 开口杯法测得的典型范围，远高于纯冰醋酸（约 39–40 °C），这意味着该 65% 水溶液在常温下不易形成可燃蒸气，储存安全性显著优于纯冰醋酸，也支持你们省去加热储罐的考量。
- **溶解性**：醋酸本身与水完全互溶，TDS 中明确标注 "Solubility in Water: Complete"，即该 65% 水溶液在水中可完全溶解，不存在分层或析出风险。
- **其他相关参数**（供参考）：沸点 102–118 °C，比重 &gt;1.0，外观为无色、刺鼻醋味的液体。
- **注意事项**：TDS 中注明以上属性为**平均批次的典型值**，Eastman 不保证任何特定批次的材料完全符合所列数值。建议在实际采购时向供应商确认具体批次的闪点数据，以满足你们的安全评估要求。</t>
        </is>
      </c>
      <c r="AA8" s="5" t="n"/>
      <c r="AB8" s="5" t="inlineStr">
        <is>
          <t>正确</t>
        </is>
      </c>
      <c r="AC8" s="12" t="n">
        <v>1</v>
      </c>
      <c r="AD8" s="41" t="n">
        <v>3.472783485194668</v>
      </c>
      <c r="AE8" s="12" t="n">
        <v>1</v>
      </c>
      <c r="AF8" s="12" t="n">
        <v>4</v>
      </c>
      <c r="AG8" s="38" t="n">
        <v>100</v>
      </c>
      <c r="AH8" s="12" t="n">
        <v>1</v>
      </c>
      <c r="AI8" s="12" t="n">
        <v>4</v>
      </c>
      <c r="AJ8" s="5" t="inlineStr">
        <is>
          <t>准确给出闪点71–91 °C和水中完全混溶，两个核心要点均与标准答案一致。</t>
        </is>
      </c>
      <c r="AK8" s="5" t="inlineStr">
        <is>
          <t>根据伊士曼（Eastman）提供的技术数据表，65%水溶液形式的冰醋酸（Dilute Acetic Acid, 65% in Water）的典型闪点（Tag Open Cup）范围为 **71–91°C**，且该产品 **可与水完全混溶**（即在水中的溶解性为完全互溶）。&lt;kb doc="8fea7cfae570c97b6e51564c21fc0a6a.pdf" chunk_id="867936f7-d8f6-4ebe-8fd2-fc9e55177426" kb_id="677e7f95-5530-4872-8412-55abbe459b7f" /&gt;</t>
        </is>
      </c>
      <c r="AL8" s="5" t="n"/>
      <c r="AM8" s="47" t="inlineStr">
        <is>
          <t>Agentic</t>
        </is>
      </c>
      <c r="AN8" s="5" t="inlineStr">
        <is>
          <t>两者核心数据均正确，但A额外提供了与纯冰醋酸闪点的对比、储存安全性分析以及批次确认建议，更贴合用户'评估替代方案以节省加热储罐成本'的实际决策场景。</t>
        </is>
      </c>
      <c r="AO8" s="5" t="inlineStr">
        <is>
          <t>是</t>
        </is>
      </c>
    </row>
    <row r="9">
      <c r="A9" s="7" t="inlineStr">
        <is>
          <t>q_1hop_0006</t>
        </is>
      </c>
      <c r="B9" s="15" t="n">
        <v>1</v>
      </c>
      <c r="C9" s="7" t="inlineStr">
        <is>
          <t>我们在开发汽车内饰件涂料时，考虑使用伊士曼（Eastman）的氯化聚烯烃 343-1（二甲苯中 50% 固含量）。请确认该产品的氯含量范围、加德纳色值，以及它在高温环境下的耐受能力（具体温度和时间）？</t>
        </is>
      </c>
      <c r="D9" s="7" t="inlineStr">
        <is>
          <t>伊士曼氯化聚烯烃 343-1（二甲苯中 50% 固含量）的氯含量为 18-23 wt.%，加德纳色值为 8。该产品具有良好的耐高温性能，可耐受 110°C 持续 20 分钟，且热重分析表明其能耐受明显更高的温度。</t>
        </is>
      </c>
      <c r="E9" s="39" t="n">
        <v>100</v>
      </c>
      <c r="F9" s="15" t="n">
        <v>1</v>
      </c>
      <c r="G9" s="15" t="n">
        <v>1</v>
      </c>
      <c r="H9" s="15" t="n">
        <v>8</v>
      </c>
      <c r="I9" s="7" t="inlineStr">
        <is>
          <t>5a1d3e620ebd9e0b8ddac004755e9862.pdf</t>
        </is>
      </c>
      <c r="J9" s="7" t="inlineStr">
        <is>
          <t>正确</t>
        </is>
      </c>
      <c r="K9" s="15" t="n">
        <v>1</v>
      </c>
      <c r="L9" s="42" t="n">
        <v>9.161710988963023</v>
      </c>
      <c r="M9" s="42" t="n">
        <v>1.125230813864619</v>
      </c>
      <c r="N9" s="42" t="n">
        <v>1.125230813864619</v>
      </c>
      <c r="O9" s="15" t="n">
        <v>1</v>
      </c>
      <c r="P9" s="15" t="n">
        <v>4</v>
      </c>
      <c r="Q9" s="42" t="n">
        <v>3e-06</v>
      </c>
      <c r="R9" s="42" t="n">
        <v>5e-06</v>
      </c>
      <c r="S9" s="42" t="n">
        <v>0.016247</v>
      </c>
      <c r="T9" s="42" t="n">
        <v>0.015855</v>
      </c>
      <c r="U9" s="42" t="n">
        <v>0.426581</v>
      </c>
      <c r="V9" s="42" t="n">
        <v>0.267343</v>
      </c>
      <c r="W9" s="15" t="n">
        <v>26744</v>
      </c>
      <c r="X9" s="15" t="n">
        <v>8</v>
      </c>
      <c r="Y9" s="7" t="inlineStr">
        <is>
          <t>氯含量 18–23 wt.%、加德纳色值 8、耐高温 110°C/20 min 及 TGA 补充说明均与标准答案和参考文档完全一致，还额外提供了比重、闪点、应用领域等有用信息。</t>
        </is>
      </c>
      <c r="Z9" s="7" t="inlineStr">
        <is>
          <t>已根据 Eastman 官方技术数据表（doc_id=152，2023/10/12 版）核实，**Eastman™ 氯化聚烯烃 343-1（二甲苯中 50% 固含量）** 的关键指标如下：
| 项目 | 数值 | 备注 |
|---|---|---|
| **氯含量** | **18–23 wt.%** | 平均批次典型值 |
| **加德纳色值（Gardner）** | **8** | 颜色指标 |
| **耐高温能力** | **110 °C 持续 20 分钟** | 热重分析（TGA）表明可耐受明显更高温度 |
补充说明：
- 该产品为氯化聚烯烃在二甲苯中的 50% 溶液，室温下呈凝胶状或粘稠液体，加热至 38 °C 并搅拌可液化。
- 比重 0.935（25 °C/25 °C）；固体 CPO 比重 0.99–1.03。
- 闪点 28 °C（Tag 闭杯）、燃点 52 °C、自燃温度 460 °C（D 2155）。
- 主要应用领域包括汽车 OEM、汽车塑料、汽车零部件及配件、通用工业涂料——与你们汽车内饰件涂料的用途匹配。
- 注意：以上为平均批次典型值，Eastman 不保证特定批次完全符合；具体批次请以随货 COA 为准。</t>
        </is>
      </c>
      <c r="AA9" s="7" t="n"/>
      <c r="AB9" s="7" t="inlineStr">
        <is>
          <t>错误</t>
        </is>
      </c>
      <c r="AC9" s="15" t="n">
        <v>1</v>
      </c>
      <c r="AD9" s="42" t="n">
        <v>4.845352727919817</v>
      </c>
      <c r="AE9" s="15" t="n">
        <v>1</v>
      </c>
      <c r="AF9" s="15" t="n">
        <v>10</v>
      </c>
      <c r="AG9" s="39" t="n">
        <v>100</v>
      </c>
      <c r="AH9" s="15" t="n">
        <v>1</v>
      </c>
      <c r="AI9" s="15" t="n">
        <v>10</v>
      </c>
      <c r="AJ9" s="7" t="inlineStr">
        <is>
          <t>氯含量和耐高温数据正确，但加德纳色值给出 11，而标准答案及参考文档明确为 8，属于问题明确要求的三个核心数据之一出现实质性数值错误。</t>
        </is>
      </c>
      <c r="AK9" s="7" t="inlineStr">
        <is>
          <t>根据伊士曼（Eastman）官方技术数据表，针对 **Eastman™ 氯化聚烯烃 343-1（50% 固含量，溶于二甲苯）** 产品，您所关心的参数如下：
### 1. 氯含量范围
该产品的氯含量为 **18–23%**（重量百分数）。&lt;kb doc="5a1d3e620ebd9e0b8ddac004755e9862.pdf" chunk_id="1e9f9750-50df-451a-b4a1-4623f246ed09" kb_id="677e7f95-5530-4872-8412-55abbe459b7f" /&gt;
### 2. 加德纳色值
该产品的加德纳色度为 **11**。&lt;kb doc="5a1d3e620ebd9e0b8ddac004755e9862.pdf" chunk_id="1e9f9750-50df-451a-b4a1-4623f246ed09" kb_id="677e7f95-5530-4872-8412-55abbe459b7f" /&gt;
### 3. 高温耐受能力（温度与时间）
该产品具有良好的耐高温性能，具体参数为：**可承受 110°C 持续 20 分钟**。&lt;kb doc="5a1d3e620ebd9e0b8ddac004755e9862.pdf" chunk_id="1e9f9750-50df-451a-b4a1-4623f246ed09" kb_id="677e7f95-5530-4872-8412-55abbe459b7f" /&gt;
---
### 补充说明
- **物理状态**：该产品在室温下为粘稠液体或凝胶，加热至 **38°C** 左右即可液化，便于操作。&lt;kb doc="5a1d3e620ebd9e0b8ddac004755e9862.pdf" chunk_id="1e9f9750-50df-451a-b4a1-4623f246ed09" kb_id="677e7f95-5530-4872-8412-55abbe459b7f" /&gt;&lt;kb doc="feace6dcdcd02d87f58129db0fdc2f5c.pdf" chunk_id="6582fbf8-cbcb-46a7-a33f-2feb746ea032" kb_id="677e7f95-5530-4872-8412-55abbe459b7f" /&gt;
- **数据性质**：上述数值均为典型批次平均值，不代表每批货物完全一致，建议在实际应用前进行验证。&lt;kb doc="5a1d3e620ebd9e0b8ddac004755e9862.pdf" chunk_id="1e9f9750-50df-451a-b4a1-4623f246ed09" kb_id="677e7f95-5530-4872-8412-55abbe459b7f" /&gt;
如果您还需要其他规格（如 40% 或 25% 固含量）的 343-1 产品数据，或不同型号（如 343-3、153-2、515-2）的对比信息，请随时告知。</t>
        </is>
      </c>
      <c r="AL9" s="7" t="n"/>
      <c r="AM9" s="47" t="inlineStr">
        <is>
          <t>Agentic</t>
        </is>
      </c>
      <c r="AN9" s="7" t="inlineStr">
        <is>
          <t>A 三项关键数据全部准确且补充信息更丰富；B 在加德纳色值上给出错误数值（11 vs 8），存在关键事实错误。</t>
        </is>
      </c>
      <c r="AO9" s="7" t="inlineStr">
        <is>
          <t>否</t>
        </is>
      </c>
    </row>
    <row r="10">
      <c r="A10" s="5" t="inlineStr">
        <is>
          <t>q_1hop_0007</t>
        </is>
      </c>
      <c r="B10" s="12" t="n">
        <v>1</v>
      </c>
      <c r="C10" s="5" t="inlineStr">
        <is>
          <t>我们在评估伊士曼（Eastman）生产的 Eastman™ 丁醛（Butyraldehyde, Dry）作为香料中间体时的储存与运输安全条件。请提供该产品的闪点（闭杯法）、自燃温度以及 20℃ 下的蒸气压，并确认其最低纯度指标（Assay）是多少？</t>
        </is>
      </c>
      <c r="D10" s="5" t="inlineStr">
        <is>
          <t>伊士曼 Eastman™ 丁醛（Butyraldehyde, Dry）的闪点（闭杯法，包括赛塔法和塔格法）均为 -13 ℃ (9 °F)；自燃温度为 199 ℃ (390 °F)（测试方法 E 659）；20℃ 下的蒸气压为 91 mm Hg；其最低纯度指标（Assay）为 99 wt %。</t>
        </is>
      </c>
      <c r="E10" s="38" t="n">
        <v>100</v>
      </c>
      <c r="F10" s="12" t="n">
        <v>1</v>
      </c>
      <c r="G10" s="12" t="n">
        <v>1</v>
      </c>
      <c r="H10" s="12" t="n">
        <v>8</v>
      </c>
      <c r="I10" s="5" t="inlineStr">
        <is>
          <t>417fdc04552bb007b60240468e64555b.pdf</t>
        </is>
      </c>
      <c r="J10" s="5" t="inlineStr">
        <is>
          <t>正确</t>
        </is>
      </c>
      <c r="K10" s="12" t="n">
        <v>1</v>
      </c>
      <c r="L10" s="41" t="n">
        <v>11.3526490770746</v>
      </c>
      <c r="M10" s="41" t="n">
        <v>1.1906290599145</v>
      </c>
      <c r="N10" s="41" t="n">
        <v>1.1906290599145</v>
      </c>
      <c r="O10" s="12" t="n">
        <v>1</v>
      </c>
      <c r="P10" s="12" t="n">
        <v>4</v>
      </c>
      <c r="Q10" s="41" t="n">
        <v>2e-06</v>
      </c>
      <c r="R10" s="41" t="n">
        <v>5e-06</v>
      </c>
      <c r="S10" s="41" t="n">
        <v>0.001376</v>
      </c>
      <c r="T10" s="41" t="n">
        <v>0.001657</v>
      </c>
      <c r="U10" s="41" t="n">
        <v>0.264827</v>
      </c>
      <c r="V10" s="41" t="n">
        <v>0.522885</v>
      </c>
      <c r="W10" s="12" t="n">
        <v>29412</v>
      </c>
      <c r="X10" s="12" t="n">
        <v>8</v>
      </c>
      <c r="Y10" s="5" t="inlineStr">
        <is>
          <t>闪点 -13 ℃、自燃温度 199 ℃ (E659)、蒸气压 91 mm Hg、Assay ≥99 wt% 四项数据均与参考文档完全一致，且补充了安全提示和其他规格，非常完整。</t>
        </is>
      </c>
      <c r="Z10" s="5" t="inlineStr">
        <is>
          <t>## Eastman™ 丁醛（Butyraldehyde, Dry）— 储存与运输安全关键参数
依据伊士曼（Eastman Chemical Company）技术数据表（doc_id=115，生成日期 2018/2/28），核实结果如下：
| 项目 | 数值 | 测试方法 / 条件 |
|---|---|---|
| **闪点（闭杯法）** | **−13 ℃ (9 °F)** | Setaflash Closed Cup 与 Tag Closed Cup 两种闭杯法结果一致 |
| **自燃温度** | **199 ℃ (390 °F)** | ASTM E659 |
| **蒸气压（20 ℃）** | **91 mm Hg** | 20 ℃ |
| **含量（Assay，最低指标）** | **≥ 99 wt %** | 最小值（min.） |
### 安全提示（原样保留）
- 该产品为**液体、刺鼻气味**，闪点低至 −13 ℃ 且 20 ℃ 蒸气压高达 91 mm Hg，属于**易燃液体**，储存与运输须按易燃液体要求管理（远离火源/热源、良好通风、防静电、密闭容器）。
- 文档备注：所列性质为**平均批次的典型值**，Eastman 不保证任何特定发货批次完全符合上述数值；用户须自行判断其针对自身用途的适用性，并保障员工、购买者的健康与安全及环境保护。
### 其他相关规格（供参考）
- 沸点 75 ℃ (167 °F)；熔点 −99 ℃ (−146 °F)；凝固点 −80 ℃
- 比重（20 ℃/20 ℃）0.78；蒸气密度 2.5（空气=1）；蒸发速率 7.8（正丁基乙酸酯=1）
- 颜色（Pt-Co）10
以上数值均直接取自该 TDS，未做外推。</t>
        </is>
      </c>
      <c r="AA10" s="5" t="n"/>
      <c r="AB10" s="5" t="inlineStr">
        <is>
          <t>错误</t>
        </is>
      </c>
      <c r="AC10" s="12" t="n">
        <v>1</v>
      </c>
      <c r="AD10" s="41" t="n">
        <v>3.754488409031183</v>
      </c>
      <c r="AE10" s="12" t="n">
        <v>1</v>
      </c>
      <c r="AF10" s="12" t="n">
        <v>10</v>
      </c>
      <c r="AG10" s="38" t="n">
        <v>100</v>
      </c>
      <c r="AH10" s="12" t="n">
        <v>1</v>
      </c>
      <c r="AI10" s="12" t="n">
        <v>10</v>
      </c>
      <c r="AJ10" s="5" t="inlineStr">
        <is>
          <t>闪点写为 -12 °C（应为 -13 ℃）、自燃温度写为 190 °C（应为 199 ℃）、蒸气压写为 13.3 kPa/100 mm Hg（应为 91 mm Hg），三项关键安全参数均与文档不符，仅 Assay 正确。</t>
        </is>
      </c>
      <c r="AK10" s="5" t="inlineStr">
        <is>
          <t>根据检索到的 Eastman™ 丁醛（Butyraldehyde, Dry）技术数据表&lt;kb doc="417fdc04552bb007b60240468e64555b.pdf" chunk_id="4abf12ba-bd85-4044-aa28-7cec4ccb445f" kb_id="677e7f95-5530-4872-8412-55abbe459b7f" /&gt;，以下是您所需的储存与运输安全条件及纯度指标：
| 参数 | 数值 |
| :--- | :--- |
| **闪点（闭杯法）** | **-12 °C** (10 °F) |
| **自燃温度** | **190 °C** (374 °F) |
| **蒸气压（20 °C）** | **13.3 kPa** (100 mm Hg) |
| **最低纯度（Assay）** | **≥ 99.0 wt%** |
该产品的技术数据表明确指出，所列性质为典型批次平均值，不保证每批货物完全一致。在评估储存与运输条件时，请务必以实际采购批次的货物分析证书（COA）为准。</t>
        </is>
      </c>
      <c r="AL10" s="5" t="n"/>
      <c r="AM10" s="47" t="inlineStr">
        <is>
          <t>Agentic</t>
        </is>
      </c>
      <c r="AN10" s="5" t="inlineStr">
        <is>
          <t>A 四项数据全部准确且格式清晰，B 在闪点、自燃温度、蒸气压三项核心安全参数上均给出错误数值，对储存运输安全评估会产生误导。</t>
        </is>
      </c>
      <c r="AO10" s="5" t="inlineStr">
        <is>
          <t>否</t>
        </is>
      </c>
    </row>
    <row r="11">
      <c r="A11" s="7" t="inlineStr">
        <is>
          <t>q_1hop_0008</t>
        </is>
      </c>
      <c r="B11" s="15" t="n">
        <v>1</v>
      </c>
      <c r="C11" s="7" t="inlineStr">
        <is>
          <t>我们计划在 PA66 改性项目中引入三井化学的 TAFMER-M 系列马来酸酐接枝聚烯烃弹性体作为增韧剂。为了平衡加工流动性与材料刚性，我们需要筛选出在 190℃ 下熔融流动速率（MFR）大于 2.0 g/10min 且表面硬度（Shore D）不低于 80 的型号。请问符合这两个条件的具体牌号有哪些？</t>
        </is>
      </c>
      <c r="D11" s="7" t="inlineStr">
        <is>
          <t>符合 190℃ MFR &gt; 2.0 g/10min 且表面硬度 ≥ 80 的牌号是 MA8510 和 MA9015。其中 MA8510 的 190℃ MFR 为 2.4 g/10min，表面硬度为 86；MA9015 的 190℃ MFR 为 11 g/10min，表面硬度为 89。</t>
        </is>
      </c>
      <c r="E11" s="39" t="n">
        <v>100</v>
      </c>
      <c r="F11" s="15" t="n">
        <v>1</v>
      </c>
      <c r="G11" s="15" t="n">
        <v>1</v>
      </c>
      <c r="H11" s="15" t="n">
        <v>8</v>
      </c>
      <c r="I11" s="7" t="inlineStr">
        <is>
          <t>d0aa948bed0af597d3c3298ed300624f.pdf</t>
        </is>
      </c>
      <c r="J11" s="7" t="inlineStr">
        <is>
          <t>正确</t>
        </is>
      </c>
      <c r="K11" s="15" t="n">
        <v>1</v>
      </c>
      <c r="L11" s="42" t="n">
        <v>12.89996493584476</v>
      </c>
      <c r="M11" s="42" t="n">
        <v>1.284636836033314</v>
      </c>
      <c r="N11" s="42" t="n">
        <v>1.284636836033314</v>
      </c>
      <c r="O11" s="15" t="n">
        <v>1</v>
      </c>
      <c r="P11" s="15" t="n">
        <v>4</v>
      </c>
      <c r="Q11" s="42" t="n">
        <v>1e-06</v>
      </c>
      <c r="R11" s="42" t="n">
        <v>4e-06</v>
      </c>
      <c r="S11" s="42" t="n">
        <v>0.012146</v>
      </c>
      <c r="T11" s="42" t="n">
        <v>0.015903</v>
      </c>
      <c r="U11" s="42" t="n">
        <v>0.36256</v>
      </c>
      <c r="V11" s="42" t="n">
        <v>0.501452</v>
      </c>
      <c r="W11" s="15" t="n">
        <v>33676</v>
      </c>
      <c r="X11" s="15" t="n">
        <v>8</v>
      </c>
      <c r="Y11" s="7" t="inlineStr">
        <is>
          <t>准确筛选出 MA8510（MFR 2.4，硬度 86）和 MA9015（MFR 11，硬度 89）两个牌号，数据与标准答案完全一致，并补充了排除型号及选型建议。</t>
        </is>
      </c>
      <c r="Z11" s="7" t="inlineStr">
        <is>
          <t>根据三井化学 TAFMER-M 系列（马来酸酐接枝聚烯烃弹性体）的出厂规格表，对全部 5 个型号按「MFR 190℃ &gt; 2.0 g/10min 且 表面硬度 ≥ 80」筛选：
## 符合条件的牌号
| 牌号 | MFR 190℃ (g/10min) | 表面硬度 (Shore D) | 是否达标 |
|------|------|------|------|
| **MA8510** | 2.4 | 86 | ✅ 两项均满足 |
| **MA9015** | 11 | 89 | ✅ 两项均满足 |
## 被排除的型号及原因
| 牌号 | MFR 190℃ | 表面硬度 | 排除原因 |
|------|------|------|------|
| MD715 | 1.5 | 72 | MFR 偏低（&lt;2.0），硬度也偏低（&lt;80） |
| MH5020 | 0.6 | 55 | 两项均不达标 |
| MH5040 | 0.5 | 63 | 两项均不达标 |
## 结论
**符合两个条件的具体牌号是 MA8510 和 MA9015。**
补充说明（供选型参考）：
- **MA8510**：MFR 190℃ 2.4 g/10min（230℃ 5.0）、密度 885 kg/m³、接枝率 1、断裂拉伸强度 &gt;24 MPa、断裂伸长率 &gt;1000%。流动性适中、刚性较高，适合需要兼顾加工与刚性的 PA66 增韧。
- **MA9015**：MFR 190℃ 11 g/10min（230℃ 23）、密度 896 kg/m³、接枝率 1.5、断裂拉伸强度 16 MPa、断裂伸长率 850%。流动性明显更高，适合对加工流动性要求更苛刻的场合，但拉伸强度/伸长率略低于 MA8510。
测试方法：MFR 按 ASTM D 1238，表面硬度按 ASTM D 2240。
如果你们更看重刚性（断裂拉伸强度），MA8510 更优；如果更看重加工流动性，MA9015 更优。两者都满足你设定的 MFR&gt;2.0 且硬度≥80 的硬性门槛。</t>
        </is>
      </c>
      <c r="AA11" s="7" t="n"/>
      <c r="AB11" s="7" t="inlineStr">
        <is>
          <t>错误</t>
        </is>
      </c>
      <c r="AC11" s="15" t="n">
        <v>1</v>
      </c>
      <c r="AD11" s="42" t="n">
        <v>4.38334083603695</v>
      </c>
      <c r="AE11" s="15" t="n">
        <v>1</v>
      </c>
      <c r="AF11" s="15" t="n">
        <v>9</v>
      </c>
      <c r="AG11" s="39" t="n">
        <v>0</v>
      </c>
      <c r="AH11" s="15" t="n">
        <v>0</v>
      </c>
      <c r="AI11" s="15" t="n">
        <v>9</v>
      </c>
      <c r="AJ11" s="7" t="inlineStr">
        <is>
          <t>声称未找到 TAFMER-M 系列数据，未给出任何具体牌号，完全未触及问题要点。</t>
        </is>
      </c>
      <c r="AK11" s="7" t="inlineStr">
        <is>
          <t>抱歉，在本次检索到的资料中，**没有找到**关于三井化学 **TAFMER-M** 系列马来酸酐接枝聚烯烃弹性体的任何技术数据。
检索到的文档内容主要涉及伊士曼（Eastman）的氯化聚烯烃、陶氏（DOW）的聚乙烯树脂以及VERSAMID聚酰胺固化剂等产品，**不包含您所查询的TAFMER-M系列产品的MFR（熔融流动速率）和Shore D硬度信息**。
建议您通过以下途径获取所需信息：
1.  **直接联系三井化学或其代理商**，索取TAFMER-M系列完整的技术数据表（TDS）。
2.  **访问三井化学官方网站**，查找该系列产品的电子版技术资料。</t>
        </is>
      </c>
      <c r="AL11" s="7" t="n"/>
      <c r="AM11" s="47" t="inlineStr">
        <is>
          <t>Agentic</t>
        </is>
      </c>
      <c r="AN11" s="7" t="inlineStr">
        <is>
          <t>A 完整准确地给出了符合条件的两个牌号及具体参数，B 则完全未作答。</t>
        </is>
      </c>
      <c r="AO11" s="7" t="inlineStr">
        <is>
          <t>否</t>
        </is>
      </c>
    </row>
    <row r="12">
      <c r="A12" s="5" t="inlineStr">
        <is>
          <t>q_1hop_0009</t>
        </is>
      </c>
      <c r="B12" s="12" t="n">
        <v>1</v>
      </c>
      <c r="C12" s="5" t="inlineStr">
        <is>
          <t>我们在开发一款用于汽车内饰的聚氨酯弹性体配方，计划选用伊士曼（Eastman）生产的 Benzoﬂex™ 9-88 增塑剂。请确认该产品的具体型号、制造商，并列出其关键物理性质，包括比重（20°C/20°C）、粘度（25°C）、闪点（闭杯）以及凝固点，以便我们评估其加工安全性和低温性能。</t>
        </is>
      </c>
      <c r="D12" s="5" t="inlineStr">
        <is>
          <t>该产品型号为 Benzoﬂex™ 9-88，制造商为伊士曼（Eastman）。其关键物理性质如下：比重（20°C/20°C）为 1.12；粘度（25°C）为 105 cP (105 mPa·s)；闪点（闭杯）为 360 °F (182 °C)；凝固点为 -22 °F (-30 °C)。</t>
        </is>
      </c>
      <c r="E12" s="38" t="n">
        <v>100</v>
      </c>
      <c r="F12" s="12" t="n">
        <v>1</v>
      </c>
      <c r="G12" s="12" t="n">
        <v>1</v>
      </c>
      <c r="H12" s="12" t="n">
        <v>8</v>
      </c>
      <c r="I12" s="5" t="inlineStr">
        <is>
          <t>3b2f1c7fc6690edfea01c2de3ea27eb3.pdf</t>
        </is>
      </c>
      <c r="J12" s="5" t="inlineStr">
        <is>
          <t>正确</t>
        </is>
      </c>
      <c r="K12" s="12" t="n">
        <v>1</v>
      </c>
      <c r="L12" s="41" t="n">
        <v>13.5869716249872</v>
      </c>
      <c r="M12" s="41" t="n">
        <v>1.01490664598532</v>
      </c>
      <c r="N12" s="41" t="n">
        <v>1.01490664598532</v>
      </c>
      <c r="O12" s="12" t="n">
        <v>1</v>
      </c>
      <c r="P12" s="12" t="n">
        <v>4</v>
      </c>
      <c r="Q12" s="41" t="n">
        <v>2e-06</v>
      </c>
      <c r="R12" s="41" t="n">
        <v>5e-06</v>
      </c>
      <c r="S12" s="41" t="n">
        <v>0.001601</v>
      </c>
      <c r="T12" s="41" t="n">
        <v>0.001685</v>
      </c>
      <c r="U12" s="41" t="n">
        <v>0.319587</v>
      </c>
      <c r="V12" s="41" t="n">
        <v>0.302148</v>
      </c>
      <c r="W12" s="12" t="n">
        <v>30441</v>
      </c>
      <c r="X12" s="12" t="n">
        <v>8</v>
      </c>
      <c r="Y12" s="5" t="inlineStr">
        <is>
          <t>完整列出了比重1.12、粘度105 cP、闪点360°F(182°C)、凝固点-22°F(-30°C)四项关键数值，与标准答案完全一致，并额外提供了加工安全性和低温性能的分析。</t>
        </is>
      </c>
      <c r="Z12" s="5" t="inlineStr">
        <is>
          <t>已核实，结论如下（来源：伊士曼技术数据表，doc_id=99，时间戳 10/28/2018，© 2025 Eastman Chemical Company）。
## 产品确认
- **型号**：Benzoflex™ 9-88 增塑剂（Plasticizer）
- **制造商**：EASTMAN（伊士曼）
- **类型**：高溶解性增塑剂，应用领域明确包含**汽车**和**聚氨酯**体系（弹性地板、粘合剂、人造革布、填缝剂），与你们汽车内饰聚氨酯弹性体配方的用途匹配。
## 关键物理性质（典型值）
| 性质 | 数值 | 测试条件 |
|---|---|---|
| 比重 | **1.12** | 20°C/20°C |
| 粘度 | **105 cP（105 mPa·s）** | 25°C |
| 闪点（闭杯） | **360 °F（182 °C）** | Setaflash Closed Cup |
| 凝固点 | **-22 °F（-30 °C）** | — |
## 对你们评估的提示
- **加工安全性**：闭杯闪点 182 °C 较高，常规聚氨酯加工温度下挥发/点燃风险低；沸点 657 °F（347 °C）、20°C 蒸气压 &lt;0.00001 torr（&lt;0.0013 Pa），挥发性极低，有利于低 VOC 配方。
- **低温性能**：凝固点 -30 °C，意味着在低于 -30 °C 的储运/使用环境下可能开始凝固，需关注极寒工况下的泵送与计量；常温下粘度仅 105 cP，流动性良好，便于计量和混合。
## 重要备注（原样保留）
- 上述性质为**平均批次的典型值**，伊士曼不保证任何特定发货批次完全符合上述数值。
- 伊士曼不对信息的使用或产品适用性负责，需由你们自行确定其在自身用途、环境保护及员工/购买者健康安全方面的适用性。
如需，我可以再补充该产品的酸度（≤0.1 wt%）、颜色（Pt-Co 40-80）、折射率（1.52 @25°C）等其余规格，或对比伊士曼其他 Benzoflex 牌号（如 9-88 SG、2088、354）在聚氨酯体系中的差异。</t>
        </is>
      </c>
      <c r="AA12" s="5" t="n"/>
      <c r="AB12" s="5" t="inlineStr">
        <is>
          <t>错误</t>
        </is>
      </c>
      <c r="AC12" s="12" t="n">
        <v>1</v>
      </c>
      <c r="AD12" s="41" t="n">
        <v>7.955483369063586</v>
      </c>
      <c r="AE12" s="12" t="n">
        <v>1</v>
      </c>
      <c r="AF12" s="12" t="n">
        <v>10</v>
      </c>
      <c r="AG12" s="38" t="n">
        <v>100</v>
      </c>
      <c r="AH12" s="12" t="n">
        <v>1</v>
      </c>
      <c r="AI12" s="12" t="n">
        <v>10</v>
      </c>
      <c r="AJ12" s="5" t="inlineStr">
        <is>
          <t>虽然确认了型号和制造商，但四个关键物理性质（比重、粘度、闪点、凝固点）全部标注为'未提供'，未给出任何具体数值，完全未触及问题的核心要求。</t>
        </is>
      </c>
      <c r="AK12" s="5" t="inlineStr">
        <is>
          <t>根据您提供的资料，已确认伊士曼（Eastman）生产的 **Benzoﬂex™ 9-88** 增塑剂的相关信息如下：
**产品型号：** Benzoﬂex™ 9-88
**制造商：** 伊士曼（Eastman）
关于其关键物理性质，资料中的摘要信息并未提供您所询问的全部具体数值。文档摘要仅列出了该数据表包含的典型物性项目，具体数值需查阅完整文档。已确认的信息整理如下：
| 物理性质 | 数值 | 备注 |
| :--- | :--- | :--- |
| **比重（20°C/20°C）** | 未提供 | 摘要中未列出此温度下的具体值 |
| **粘度（25°C）** | 未提供 | 摘要中未列出具体值 |
| **闪点（闭杯）** | 未提供 | 摘要中未列出具体值 |
| **凝固点** | 未提供 | 摘要中未列出具体值 |
**分析与建议：**
1.  **产品确认：** 根据文档检索结果，`Benzoflex™ 9-88` 是伊士曼（Eastman）公司生产的一款高溶解性增塑剂，广泛应用于弹性地板、粘合剂、人造革和填缝料等聚合物体系&lt;kb doc="3b2f1c7fc6690edfea01c2de3ea27eb3.pdf" chunk_id="d8ed0984-b4af-481f-b6e6-3953885f4d1a" kb_id="677e7f95-5530-4872-8412-55abbe459b7f" /&gt;。
2.  **缺失数据：** 您所询问的比重（20°C/20°C）、粘度（25°C）、闪点（闭杯）以及凝固点这些关键数据，在提供的文档摘要中均未被具体列出。摘要仅提及该技术数据表包含了这些项目，但未给出实际数值&lt;kb doc="3b2f1c7fc6690edfea01c2de3ea27eb3.pdf" chunk_id="d8ed0984-b4af-481f-b6e6-3953885f4d1a" kb_id="677e7f95-5530-4872-8412-55abbe459b7f" /&gt;。
3.  **下一步建议：**
    *   **查阅完整技术数据表：** 最直接的方式是获取并查阅 `Benzoflex™ 9-88` 的完整技术数据表（TDS）原件，其中应包含您需要的所有详细物性数据。
    *   **参考其他型号：** 如果急需数据做初步评估，可以临时参考同系列其他型号的数据。例如，Benzoflex™ 2088 的摘要中提供了比重 1.16、粘度 71 cP 及闪点 396°F 等数据&lt;kb doc="0cab4a54f13d0e9c14fae0469ba95abf.pdf" chunk_id="c47ebd75-3af6-46a6-b8d9-5c86277c4605" kb_id="677e7f95-5530-4872-8412-55abbe459b7f" /&gt;，但这仅为参考，不能替代 9-88 型号的准确数据。
    *   **联系供应商：** 直接联系伊士曼或其授权经销商，索取该产品的官方技术数据表（TDS）和安全数据表（SDS），以获取最准确、完整的物性参数，为您的聚氨酯弹性体配方开发提供可靠依据。</t>
        </is>
      </c>
      <c r="AL12" s="5" t="n"/>
      <c r="AM12" s="47" t="inlineStr">
        <is>
          <t>Agentic</t>
        </is>
      </c>
      <c r="AN12" s="5" t="inlineStr">
        <is>
          <t>A 未给出任何具体物性数值，核心要求完全未满足；B 准确列出全部四项数据并附加了实用性分析，质量远优于 A。</t>
        </is>
      </c>
      <c r="AO12" s="5" t="inlineStr">
        <is>
          <t>否</t>
        </is>
      </c>
    </row>
    <row r="13">
      <c r="A13" s="7" t="inlineStr">
        <is>
          <t>q_1hop_0010</t>
        </is>
      </c>
      <c r="B13" s="15" t="n">
        <v>1</v>
      </c>
      <c r="C13" s="7" t="inlineStr">
        <is>
          <t>我们在评估埃克森美孚（ExxonMobil）Heptene 高碳烯烃作为合成油基础油原料的可行性。请确认该产品的密度（15°C）和比重（20/20°C）的具体规格范围，以及其饱和烃含量（Saturates Content）的最大允许值是多少？</t>
        </is>
      </c>
      <c r="D13" s="7" t="inlineStr">
        <is>
          <t>埃克森美孚 Heptene 高碳烯烃的密度（15°C）规格范围为 0.704 - 0.715 kg/l；比重（20/20°C）规格范围为 0.705 - 0.716；饱和烃含量（Saturates Content）的最大允许值为 4.0 wt%。</t>
        </is>
      </c>
      <c r="E13" s="39" t="n">
        <v>100</v>
      </c>
      <c r="F13" s="15" t="n">
        <v>1</v>
      </c>
      <c r="G13" s="15" t="n">
        <v>1</v>
      </c>
      <c r="H13" s="15" t="n">
        <v>12</v>
      </c>
      <c r="I13" s="7" t="inlineStr">
        <is>
          <t>2a81d004841782cdbb7a51bea98bed85.pdf</t>
        </is>
      </c>
      <c r="J13" s="7" t="inlineStr">
        <is>
          <t>正确</t>
        </is>
      </c>
      <c r="K13" s="15" t="n">
        <v>1</v>
      </c>
      <c r="L13" s="42" t="n">
        <v>14.4797395421192</v>
      </c>
      <c r="M13" s="42" t="n">
        <v>3.750954039860517</v>
      </c>
      <c r="N13" s="42" t="n">
        <v>1.875477019930258</v>
      </c>
      <c r="O13" s="15" t="n">
        <v>2</v>
      </c>
      <c r="P13" s="15" t="n">
        <v>4</v>
      </c>
      <c r="Q13" s="42" t="n">
        <v>3e-06</v>
      </c>
      <c r="R13" s="42" t="n">
        <v>7e-06</v>
      </c>
      <c r="S13" s="42" t="n">
        <v>0.002781</v>
      </c>
      <c r="T13" s="42" t="n">
        <v>0.003548</v>
      </c>
      <c r="U13" s="42" t="n">
        <v>0.5535680000000001</v>
      </c>
      <c r="V13" s="42" t="n">
        <v>2.443736</v>
      </c>
      <c r="W13" s="15" t="n">
        <v>41577</v>
      </c>
      <c r="X13" s="15" t="n">
        <v>12</v>
      </c>
      <c r="Y13" s="7" t="inlineStr">
        <is>
          <t>三项核心指标（密度 0.704–0.715 kg/l、比重 0.705–0.716、饱和烃含量最大 4.0 wt%）全部准确给出，与标准答案和参考文档完全一致，还补充了测试方法等细节。</t>
        </is>
      </c>
      <c r="Z13" s="7" t="inlineStr">
        <is>
          <t>已核实 ExxonMobil™ Heptene（高碳烯烃）销售规格（文件生效/修订日期 2024/08/29，供货地区：北美洲、拉丁美洲、欧洲），三项指标如下：
| 指标 | 规格范围 | 单位 | 测试方法 |
|---|---|---|---|
| 密度（15°C） | 0.704 – 0.715 | kg/l | ASTM D4052（Calculated，计算值） |
| 比重（20/20°C） | 0.705 – 0.716 | — | BRC P 4843（Calculated，计算值） |
| 饱和烃含量（Saturates Content） | 最大 4.0 | wt% | BCI GC-02、BRC P 4790 |
补充说明：
- 密度和比重两项标注为 "Calculated"，即由另一规格参数推导得出，而非直接实测。
- 该产品外观要求为"清晰、无悬浮物"，色度（Pt-Co）最大 40；过氧化物（以活性氧计）最大 10 wppm；水含量最大 50 wppm；C6 及更轻组分最大 3.0 wt%，C8 及更重组分最大 6.0 wt%。
- 产品使用受阻酚作为抑制剂。
- 文档未提供具体 CAS 号或商品型号，仅列出销售规格。
以上数据可作为评估 Heptene 作为合成油基础油原料的参考依据。</t>
        </is>
      </c>
      <c r="AA13" s="7" t="n"/>
      <c r="AB13" s="7" t="inlineStr">
        <is>
          <t>错误</t>
        </is>
      </c>
      <c r="AC13" s="15" t="n">
        <v>1</v>
      </c>
      <c r="AD13" s="42" t="n">
        <v>4.835515102837235</v>
      </c>
      <c r="AE13" s="15" t="n">
        <v>1</v>
      </c>
      <c r="AF13" s="15" t="n">
        <v>9</v>
      </c>
      <c r="AG13" s="39" t="n">
        <v>100</v>
      </c>
      <c r="AH13" s="15" t="n">
        <v>1</v>
      </c>
      <c r="AI13" s="15" t="n">
        <v>9</v>
      </c>
      <c r="AJ13" s="7" t="inlineStr">
        <is>
          <t>密度和饱和烃含量答对，但比重（20/20°C）一项明确声称'规格表中未列出'，而参考文档中清楚列出了 0.705–0.716，属于关键要点答错。</t>
        </is>
      </c>
      <c r="AK13" s="7" t="inlineStr">
        <is>
          <t>根据埃克森美孚（ExxonMobil™）Heptene 高碳烯烃的销售规格文件，您所询问的关键指标具体规格范围如下：
| 属性 | 规格范围 | 单位 |
| :--- | :--- | :--- |
| **密度 (15°C)** | **0.704 ~ 0.715** | kg/l |
| **比重 (20/20°C)** | 该规格表中**未列出**此参数，仅提供了15°C下的密度值。 | -- |
| **饱和烃含量 (Saturates Content)** | **最大值 4.0** | wt% |
**总结：**
- **密度（15°C）** 的范围为 **0.704 至 0.715 kg/l**。&lt;kb doc="2a81d004841782cdbb7a51bea98bed85.pdf" chunk_id="4639e502-15de-4b27-ac55-ea5569f3b368" kb_id="677e7f95-5530-4872-8412-55abbe459b7f" /&gt;
- **比重（20/20°C）** 在所提供的销售规格书中并未给出，无法确认其具体数值。
- **饱和烃含量（Saturates Content）** 的最大允许值为 **4.0 wt%**。&lt;kb doc="2a81d004841782cdbb7a51bea98bed85.pdf" chunk_id="4639e502-15de-4b27-ac55-ea5569f3b368" kb_id="677e7f95-5530-4872-8412-55abbe459b7f" /&gt;</t>
        </is>
      </c>
      <c r="AL13" s="7" t="n"/>
      <c r="AM13" s="47" t="inlineStr">
        <is>
          <t>Agentic</t>
        </is>
      </c>
      <c r="AN13" s="7" t="inlineStr">
        <is>
          <t>A 三项指标全部正确且完整，B 在比重（20/20°C）这一核心要点上给出了与文档相悖的错误结论，因此 A 明显更优。</t>
        </is>
      </c>
      <c r="AO13" s="7" t="inlineStr">
        <is>
          <t>否</t>
        </is>
      </c>
    </row>
    <row r="14">
      <c r="A14" s="5" t="inlineStr">
        <is>
          <t>q_2hop_0001</t>
        </is>
      </c>
      <c r="B14" s="12" t="n">
        <v>2</v>
      </c>
      <c r="C14" s="5" t="inlineStr">
        <is>
          <t>我们是一家建筑密封胶制造商，正在评估伊士曼（Eastman）的 Benzoflex™ LC-531 和 Benzoflex™ 2088 两种增塑剂用于丙烯酸乳液填缝剂（acrylic latex caulks）的配方。请对比这两款产品在25°C下的粘度、20°C下的蒸气压以及酸度指标，并指出哪一款在降低挥发性方面表现更优，同时说明哪一款在酸度控制上更严格。</t>
        </is>
      </c>
      <c r="D14" s="5" t="inlineStr">
        <is>
          <t>Benzoflex™ LC-531 在25°C下的粘度为 55 cP，20°C下的蒸气压小于 0.0001 torr，酸度最大值为 1 wt%。Benzoflex™ 2088 在25°C下的粘度为 71 cP，20°C下的蒸气压小于 0.00001 torr，酸度最大值为 0.1 wt%。在降低挥发性方面，Benzoflex™ 2088 表现更优，因为其蒸气压上限（&lt;0.00001 torr）远低于 Benzoflex™ LC-531（&lt;0.0001 torr）。在酸度控制上，Benzoflex™ 2088 更严格，其最大酸度限值（0.1 wt%）低于 Benzoflex™ LC-531（1 wt%）。</t>
        </is>
      </c>
      <c r="E14" s="38" t="n">
        <v>100</v>
      </c>
      <c r="F14" s="12" t="n">
        <v>2</v>
      </c>
      <c r="G14" s="12" t="n">
        <v>2</v>
      </c>
      <c r="H14" s="12" t="n">
        <v>17</v>
      </c>
      <c r="I14" s="5" t="inlineStr">
        <is>
          <t>0d8710e5244a08f53fc3b49c4c529e30.pdf / 0cab4a54f13d0e9c14fae0469ba95abf.pdf</t>
        </is>
      </c>
      <c r="J14" s="5" t="inlineStr">
        <is>
          <t>正确</t>
        </is>
      </c>
      <c r="K14" s="12" t="n">
        <v>1</v>
      </c>
      <c r="L14" s="41" t="n">
        <v>26.50530475797132</v>
      </c>
      <c r="M14" s="41" t="n">
        <v>3.457184492843226</v>
      </c>
      <c r="N14" s="41" t="n">
        <v>0.6914368985686451</v>
      </c>
      <c r="O14" s="12" t="n">
        <v>5</v>
      </c>
      <c r="P14" s="12" t="n">
        <v>6</v>
      </c>
      <c r="Q14" s="41" t="n">
        <v>9e-06</v>
      </c>
      <c r="R14" s="41" t="n">
        <v>1.8e-05</v>
      </c>
      <c r="S14" s="41" t="n">
        <v>0.004158</v>
      </c>
      <c r="T14" s="41" t="n">
        <v>0.008692</v>
      </c>
      <c r="U14" s="41" t="n">
        <v>0.790901</v>
      </c>
      <c r="V14" s="41" t="n">
        <v>1.182716</v>
      </c>
      <c r="W14" s="12" t="n">
        <v>96549</v>
      </c>
      <c r="X14" s="12" t="n">
        <v>17</v>
      </c>
      <c r="Y14" s="5" t="inlineStr">
        <is>
          <t>两款产品的粘度、蒸气压、酸度数据均与参考文档完全一致，挥发性（2088更优）和酸度控制（2088更严格）两个结论也正确，并补充了配方适用性提示。</t>
        </is>
      </c>
      <c r="Z14" s="5" t="inlineStr">
        <is>
          <t>两款产品均已从伊士曼（Eastman）官方技术数据表核实，对比如下。
## 核心指标对比
| 指标 | Benzoflex™ LC-531 | Benzoflex™ 2088 |
|---|---|---|
| 粘度 @ 25°C | 55 cP (55 mPa·s) | 71 cP (71 mPa·s) |
| 蒸气压 @ 20°C | &lt;0.0001 torr (&lt;0.0133 Pa) | &lt;0.00001 torr (&lt;0.0013 Pa) |
| 酸度 (Acidity) | 最大 1 wt% | 最大 0.1 wt% |
## 结论
**降低挥发性方面：Benzoflex™ 2088 更优。**
2088 的 20°C 蒸气压上限为 &lt;0.00001 torr（&lt;0.0013 Pa），比 LC-531 的 &lt;0.0001 torr（&lt;0.0133 Pa）低一个数量级。蒸气压越低，挥发性越小，因此 2088 在低挥发性上表现更好。这与 2088 数据表中"在 PVC 应用中作为快速增塑剂，提供低加工温度和低挥发性"的描述一致。
**酸度控制方面：Benzoflex™ 2088 更严格。**
2088 的酸度上限为 0.1 wt%，而 LC-531 为 1 wt%，2088 的酸度规格比 LC-531 严格 10 倍。
## 配方提示
- **LC-531** 是专为乳胶密封胶（latex caulks）配制、针对 ASTM C-920 / C-834 性能要求设计的产品，粘度更低（55 cP），更适合丙烯酸乳液填缝剂体系，但酸度规格较宽（1 wt%）。
- **2088** 同样明确标注"能提高丙烯酸乳液填缝剂（acrylic latex caulks）的附着力"，且挥发性更低、酸度控制更严，但粘度更高（71 cP）。
如果你们的填缝剂配方对低 VOC / 低挥发和酸度稳定性要求高，2088 在挥发性与酸度两项上占优；若更看重低粘度带来的加工/流变特性，LC-531 更合适。两者均为伊士曼平均批次典型值，实际发货批次可能略有偏差，建议以随货 COA 复核。
（来源：Benzoflex LC-531 TDS，doc_id=37；Benzoflex 2088 TDS，doc_id=36）</t>
        </is>
      </c>
      <c r="AA14" s="5" t="n"/>
      <c r="AB14" s="5" t="inlineStr">
        <is>
          <t>错误</t>
        </is>
      </c>
      <c r="AC14" s="12" t="n">
        <v>1</v>
      </c>
      <c r="AD14" s="41" t="n">
        <v>7.725757966050878</v>
      </c>
      <c r="AE14" s="12" t="n">
        <v>1</v>
      </c>
      <c r="AF14" s="12" t="n">
        <v>9</v>
      </c>
      <c r="AG14" s="38" t="n">
        <v>100</v>
      </c>
      <c r="AH14" s="12" t="n">
        <v>2</v>
      </c>
      <c r="AI14" s="12" t="n">
        <v>9</v>
      </c>
      <c r="AJ14" s="5" t="inlineStr">
        <is>
          <t>Benzoflex 2088 的三项数据全部错误（粘度写成325-425 cP而非71 cP，蒸气压写成0.001 torr而非&lt;0.00001 torr，酸度写成Acid Number 3而非0.1 wt%），且两个核心结论（挥发性更优、酸度更严格）均判反，与参考文档和标准答案完全矛盾。</t>
        </is>
      </c>
      <c r="AK14" s="5" t="inlineStr">
        <is>
          <t>根据检索到的伊士曼（Eastman）技术数据表，以下是对 **Benzoflex™ LC-531** 和 **Benzoflex™ 2088** 两款增塑剂在您所关注的指标上的详细对比：
### 1. 粘度（25°C）
| 产品 | 25°C 粘度 | 数据来源 |
| :--- | :--- | :--- |
| **Benzoflex™ LC-531** | **55 cP** (55 mPa·s) | &lt;kb doc="0d8710e5244a08f53fc3b49c4c529e30.pdf" chunk_id="779450f5-1007-49ab-a77f-378852cb08fd" kb_id="677e7f95-5530-4872-8412-55abbe459b7f" /&gt; |
| **Benzoflex™ 2088** | **325-425 cP** (325-425 mPa·s) | &lt;kb doc="700039db3275f74e32684c0bb9efe43e.pdf" chunk_id="a4642bbd-8ae7-4025-8632-98e3d2707a8e" kb_id="677e7f95-5530-4872-8412-55abbe459b7f" /&gt; |
**结论**：Benzoflex™ LC-531 在25°C下的粘度远低于 Benzoflex™ 2088，流动性更好。
### 2. 蒸气压（20°C）
| 产品 | 20°C 蒸气压 | 数据来源 |
| :--- | :--- | :--- |
| **Benzoflex™ LC-531** | **&lt; 0.0001 torr** (&lt; 0.0133 Pa) | &lt;kb doc="0d8710e5244a08f53fc3b49c4c529e30.pdf" chunk_id="779450f5-1007-49ab-a77f-378852cb08fd" kb_id="677e7f95-5530-4872-8412-55abbe459b7f" /&gt; |
| **Benzoflex™ 2088** | **0.001 torr** (&lt; 0.13 Pa) | &lt;kb doc="700039db3275f74e32684c0bb9efe43e.pdf" chunk_id="a4642bbd-8ae7-4025-8632-98e3d2707a8e" kb_id="677e7f95-5530-4872-8412-55abbe459b7f" /&gt; |
**结论**：Benzoflex™ LC-531 的蒸气压更低。在降低挥发性方面，**Benzoflex™ LC-531 表现更优**。
### 3. 酸度指标
| 产品 | 酸度指标 | 数据来源 |
| :--- | :--- | :--- |
| **Benzoflex™ LC-531** | **Acidity (wt%) 1 max.**（酸度最大值 1%） | &lt;kb doc="0d8710e5244a08f53fc3b49c4c529e30.pdf" chunk_id="779450f5-1007-49ab-a77f-378852cb08fd" kb_id="677e7f95-5530-4872-8412-55abbe459b7f" /&gt; |
| **Benzoflex™ 2088** | **Acid Number 3 max.**（酸值最大值 3） | &lt;kb doc="700039db3275f74e32684c0bb9efe43e.pdf" chunk_id="a4642bbd-8ae7-4025-8632-98e3d2707a8e" kb_id="677e7f95-5530-4872-8412-55abbe459b7f" /&gt; |
**结论**：Benzoflex™ LC-531 的酸度指标以质量百分比（wt%）控制，上限为1%；而 Benzoflex™ 2088 的酸值上限为3。在酸度控制上，**Benzoflex™ LC-531 的指标更为严格**。
### 总结
| 对比维度 | 更优产品 |
| :--- | :--- |
| **降低挥发性** | **Benzoflex™ LC-531**（蒸气压更低） |
| **酸度控制严格性** | **Benzoflex™ LC-531**（酸度上限1% vs 酸值上限3） |</t>
        </is>
      </c>
      <c r="AL14" s="5" t="n"/>
      <c r="AM14" s="47" t="inlineStr">
        <is>
          <t>Agentic</t>
        </is>
      </c>
      <c r="AN14" s="5" t="inlineStr">
        <is>
          <t>A 在 2088 的三项关键数据上全部出错且两个结论判反，B 数据与结论完全准确并提供了额外的配方建议，质量差距显著。</t>
        </is>
      </c>
      <c r="AO14" s="5" t="inlineStr">
        <is>
          <t>否</t>
        </is>
      </c>
    </row>
    <row r="15">
      <c r="A15" s="7" t="inlineStr">
        <is>
          <t>q_3hop_0001</t>
        </is>
      </c>
      <c r="B15" s="15" t="n">
        <v>3</v>
      </c>
      <c r="C15" s="7" t="inlineStr">
        <is>
          <t>我们工厂正在为电子外壳项目评估锦湖石化（Kumho Petrochemical）的三款材料：ABS 750、HAC-8244D 和 HFA 708F。请帮我梳理这三款产品的核心成分构成，特别是 HFA 708F 中用于阻燃的具体助剂及其含量范围。另外，从 GHS 安全分类和 NFPA 评级来看，哪款产品的健康风险最高？其具体的危险象形图、警示词及主要危险性说明（H 代码）是什么？</t>
        </is>
      </c>
      <c r="D15" s="7" t="inlineStr">
        <is>
          <t>1. 核心成分构成：
- ABS 750：主要成分为丙烯腈-丁二烯-苯乙烯共聚物（CAS 9003-56-9），含量 97~100%；另含稳定剂（0~1%）和润滑剂（0~3%）。
- HAC-8244D：主要成分为丙烯腈-丁二烯-苯乙烯（CAS 9003-56-9，含量 35~65%）和聚碳酸酯（CAS 24936-68-3，含量 35~65%），另含添加剂（0~2%）。
- HFA 708F：主要成分为 ABS 树脂（CAS 9003-56-9，含量 70~80%）。
2. HFA 708F 阻燃助剂：
- 溴化阻燃剂（Brominated flame retardant，CAS 25713-60-4），含量 15~20%。
- 三氧化二锑（Antimony Trioxide，CAS 1309-64-4），含量 1~5%。
- 氯化聚乙烯（Chlorinated Polyethylene，CAS 64754-90-1），含量 1~5%（通常作为协效剂）。
3. 健康风险对比：
- HFA 708F 的健康风险最高。
- GHS 分类：致癌性 1B 类，特定目标器官毒性（重复暴露）2 类。
- NFPA 评级：健康=1，可燃性=1，反应性=0（ABS 750 和 HAC-8244D 均为 0-0-0）。
- 危险象形图：健康危害（人形上半身与星形图案）。
- 警示词：危险（Danger）。
- 主要危险性说明：H350 可能致癌；H373 长期或重复接触可能对器官造成伤害。</t>
        </is>
      </c>
      <c r="E15" s="39" t="n">
        <v>100</v>
      </c>
      <c r="F15" s="15" t="n">
        <v>3</v>
      </c>
      <c r="G15" s="15" t="n">
        <v>3</v>
      </c>
      <c r="H15" s="15" t="n">
        <v>13</v>
      </c>
      <c r="I15" s="7" t="inlineStr">
        <is>
          <t>3e7754a178496e020d05ae37b76f1b07.pdf / 84c1beaae97fdcca1d97b6f3e9f05570.pdf / 9369ccb105b9ec06fc1e98bee1747c32.pdf</t>
        </is>
      </c>
      <c r="J15" s="7" t="inlineStr">
        <is>
          <t>正确</t>
        </is>
      </c>
      <c r="K15" s="15" t="n">
        <v>1</v>
      </c>
      <c r="L15" s="42" t="n">
        <v>40.29036583285779</v>
      </c>
      <c r="M15" s="42" t="n">
        <v>3.105863929027691</v>
      </c>
      <c r="N15" s="42" t="n">
        <v>1.035287976342564</v>
      </c>
      <c r="O15" s="15" t="n">
        <v>3</v>
      </c>
      <c r="P15" s="15" t="n">
        <v>4</v>
      </c>
      <c r="Q15" s="42" t="n">
        <v>5e-06</v>
      </c>
      <c r="R15" s="42" t="n">
        <v>6.600000000000001e-05</v>
      </c>
      <c r="S15" s="42" t="n">
        <v>0</v>
      </c>
      <c r="T15" s="42" t="n">
        <v>0</v>
      </c>
      <c r="U15" s="42" t="n">
        <v>2.175909</v>
      </c>
      <c r="V15" s="42" t="n">
        <v>0.9286350000000001</v>
      </c>
      <c r="W15" s="15" t="n">
        <v>86661</v>
      </c>
      <c r="X15" s="15" t="n">
        <v>18</v>
      </c>
      <c r="Y15" s="7" t="inlineStr">
        <is>
          <t>三款产品成分、HFA 708F阻燃助剂（溴化阻燃剂15~20%、三氧化二锑1~5%、氯化聚乙烯1~5%）及含量均准确；GHS分类（致癌性1B、STOT RE 2）、NFPA 1/1/0、象形图（人形+星形）、警示词（危险）、H350/H373全部与标准答案一致。</t>
        </is>
      </c>
      <c r="Z15" s="7" t="inlineStr">
        <is>
          <t>## 结论先行
**健康风险最高的是 HFA 708F**——它是三款中唯一被 GHS 分类（致癌性 1B 类 + 特定目标器官毒性重复暴露 2 类）、唯一带"危险"警示词、唯一 NFPA 健康评级非 0（=1）的产品。ABS 750 和 HAC-8244D 的 GHS 分类与 NFPA 三项评级均为"不适用/0"。
---
## 一、三款产品核心成分构成
### 1. ABS 750（通用 ABS 树脂，Kumho，SDS 修订 2023.04.20）
| 成分 | CAS | 含量 |
|---|---|---|
| 丙烯腈-丁二烯-苯乙烯共聚物 (ABS) | 9003-56-9 | 97~100% |
| 稳定剂 (Stabilizer) | 专有 | 0~1% |
| 润滑剂 (Lubricant) | 专有 | 0~3% |
### 2. HAC-8244D（ABS/PC 合金，Kumho，SDS 修订 2018.07.18）
| 成分 | CAS | 含量 |
|---|---|---|
| ABS | 9003-56-9 | 35~65% |
| 聚碳酸酯 (Polycarbonate) | 24936-68-3 | 35~65% |
| 添加剂 (Additives) | 专有 | 0~2% |
### 3. HFA 708F（阻燃 ABS 复合材料，Kumho，SDS 修订 2018.07.19）
| 成分 | CAS | 含量 |
|---|---|---|
| ABS 树脂 | 9003-56-9 | 70~80% |
| **溴化阻燃剂 (Brominated flame retardant)** | **25713-60-4** | **15~20%** |
| 氯化聚乙烯 (Chlorinated Polyethylene) | 64754-90-1 | 1~5% |
| **三氧化二锑 (Antimony Trioxide)** | **1309-64-4** | **1~5%** |
| 抗氧化剂 (Antioxidant) | 2082-79-3 | 0.1~10% |
| 蜡 (Wax) | 85116-93-4 | 0.1~5% |
**HFA 708F 的阻燃体系**：以**溴化阻燃剂（CAS 25713-60-4，15~20%）为主阻燃剂**，配合**三氧化二锑（CAS 1309-64-4，1~5%）作为协效剂**（溴-锑协同是 ABS 阻燃的经典组合），并辅以**氯化聚乙烯（1~5%）**作为抑烟/成炭协效组分。SDS 第 11 节还特别标注三氧化二锑为 IARC 2B 组、EU CLP 致癌性 2 类、OSHA PEL 0.5 mg/m³——这正是该产品被 GHS 整体升级为"危险"的根源。
---
## 二、GHS / NFPA 对比
| 产品 | GHS 分类 | 警示词 | 象形图 | H 代码 | NFPA 健康/易燃/反应 |
|---|---|---|---|---|---|
| ABS 750 | 不适用 | 不适用 | 不适用 | 不适用 | 0 / 0 / 0 |
| HAC-8244D | 不适用 | 不适用 | 不适用 | 不适用 | 0 / 0 / 0 |
| **HFA 708F** | **致癌性 1B 类；特定目标器官毒性（重复暴露）2 类** | **危险 (Danger)** | **健康危害（骷髅+星形）** | **H350、H373** | **1 / 1 / 0** |
---
## 三、HFA 708F 的 GHS 标签要素（原样保留）
- **危险象形图**：GHS07 健康危害（人形上半身 + 星形图案，红框菱形）
- **警示词**：危险（Danger）
- **危险性说明**：
  - **H350** 可能致癌（May cause cancer）
  - **H373** 长期或重复接触可能对器官造成伤害（May cause damage to organs through prolonged or repeated exposure）
- **防范说明（要点）**：P201 使用前获取特别指示；P202 阅读并理解所有安全预防措施前请勿操作；P260 请勿吸入粉尘/烟雾/气体/雾/蒸气/喷雾；P281 按要求使用个人防护装备；P308+P313 如暴露或担心暴露，寻求医疗建议；P314 如感觉不适，寻求医疗建议；P405 上锁存放；P501 按当地法规处置。
---
## 四、对电子外壳项目的提示
1. **若外壳需阻燃**：HFA 708F 是唯一自带阻燃体系（溴+锑+氯化聚乙烯）的牌号，但需按 GHS"危险"等级管理——储存上锁、限制接触、配备呼吸/皮肤/眼防护，并评估下游 RoHS/REACH 对溴化阻燃剂和三氧化二锑的合规要求。
2. **若外壳不要求阻燃**：ABS 750（纯 ABS）或 HAC-8244D（ABS/PC 合金，冲击/耐热更好）在安全分类上更"干净"，GHS 不适用、NFPA 全 0，操作与仓储合规成本最低。
3. 三款燃烧时均会产生 CO/CO₂，ABS 系还会产生**氰化氢**，HAC-8244D 还会产生**苯乙烯**；灭火均**禁用直流水**，应使用 CO₂、干粉、泡沫或水喷雾。</t>
        </is>
      </c>
      <c r="AA15" s="7" t="n"/>
      <c r="AB15" s="7" t="inlineStr">
        <is>
          <t>正确</t>
        </is>
      </c>
      <c r="AC15" s="15" t="n">
        <v>1</v>
      </c>
      <c r="AD15" s="42" t="n">
        <v>11.22214533900842</v>
      </c>
      <c r="AE15" s="15" t="n">
        <v>1</v>
      </c>
      <c r="AF15" s="15" t="n">
        <v>10</v>
      </c>
      <c r="AG15" s="39" t="n">
        <v>0</v>
      </c>
      <c r="AH15" s="15" t="n">
        <v>0</v>
      </c>
      <c r="AI15" s="15" t="n">
        <v>10</v>
      </c>
      <c r="AJ15" s="7" t="inlineStr">
        <is>
          <t>核心结论正确（HFA 708F风险最高、警示词'危险'、含H350），但细节有多处偏差：象形图误写为'骷髅交叉骨'（应为健康危害人形+星形）、H代码将H373误写为H372且混入不相关的H332/H360/H400/H410、NFPA未给出具体数值、阻燃助剂缺少氯化聚乙烯、HAC-8244D成分用同系列其他型号推断而非直接引用。</t>
        </is>
      </c>
      <c r="AK15" s="7" t="inlineStr">
        <is>
          <t>好的，我根据您提供的安全数据表（SDS）信息，为您梳理锦湖石化这三款材料的相关信息。
### 1. 核心成分构成
根据检索到的信息，这三款产品的核心成分构成如下：
*   **ABS 750系列**：主要成分为**丙烯腈-丁二烯-苯乙烯共聚物**，含量为 **97~100%**。&lt;kb doc="519a489734c454668ef4dfd39254a506.pdf" chunk_id="a91b7d00-ea2b-43b8-890a-fdce0f75fe02" kb_id="677e7f95-5530-4872-8412-55abbe459b7f" /&gt;&lt;kb doc="62f520fda5fbc19eea6837c8d010c7d4.pdf" chunk_id="56f8c111-8c5b-4799-b59a-2599e0d8d86b" kb_id="677e7f95-5530-4872-8412-55abbe459b7f" /&gt; 该系列产品通常还含有少量添加剂，如稳定剂、润滑剂及残留单体。&lt;kb doc="62f520fda5fbc19eea6837c8d010c7d4.pdf" chunk_id="56f8c111-8c5b-4799-b59a-2599e0d8d86b" kb_id="677e7f95-5530-4872-8412-55abbe459b7f" /&gt;
*   **HAC-8244D**：该型号未直接出现在检索结果中，但根据同系列产品（如HAC-8250）的信息，其主要成分可能为 **ABS与聚碳酸酯（PC）的混合物**。以HAC-8250为例，其成分为ABS（40-50%）和聚碳酸酯（50-60%），添加剂含量小于1%。&lt;kb doc="53963d672455f47913e818e554d3da43.pdf" chunk_id="2e5f99c8-223d-4eb5-8124-3b8c36ac350d" kb_id="677e7f95-5530-4872-8412-55abbe459b7f" /&gt;
*   **HFA 708F**：该型号也未直接出现在检索结果中。但根据同系列阻燃产品（如HFA 709 Z）的SDS，其阻燃体系应为**溴系阻燃剂+锑系协效剂**。以HFA 709 Z为例，其成分包括：ABS树脂（70~80%）、双(五溴苯基)乙烷（15~20%）以及三氧化二锑等添加剂。&lt;kb doc="a349579ebb63b5f978159c8ad80f28a1.pdf" chunk_id="a526c1eb-7cca-4181-8ddd-ed673fd093c5" kb_id="677e7f95-5530-4872-8412-55abbe459b7f" /&gt;
### 2. HFA 708F 的阻燃助剂及含量范围
由于未直接检索到HFA 708F的SDS，以下信息基于同系列阻燃产品（如HFA 709 Z）的SDS进行推断：
*   **阻燃助剂**：可能包含 **双(五溴苯基)乙烷** 作为主阻燃剂，以及 **三氧化二锑** 作为阻燃协效剂。&lt;kb doc="a349579ebb63b5f978159c8ad80f28a1.pdf" chunk_id="a526c1eb-7cca-4181-8ddd-ed673fd093c5" kb_id="677e7f95-5530-4872-8412-55abbe459b7f" /&gt;
*   **含量范围**：参考HFA 709 Z，主阻燃剂含量可能在 **15~20%** 范围内，协效剂（三氧化二锑）含量未明确给出，通常为百分之几。&lt;kb doc="a349579ebb63b5f978159c8ad80f28a1.pdf" chunk_id="a526c1eb-7cca-4181-8ddd-ed673fd093c5" kb_id="677e7f95-5530-4872-8412-55abbe459b7f" /&gt;
### 3. 健康风险最高的产品及GHS/NFPA信息
**结论：HFA 708F（基于同系列产品HFA 709 Z和HFA 707的信息）的健康风险在三者中最高。**
#### NFPA 评级对比
*   **ABS 750系列**：NFPA评级为健康 **0**、易燃性 0、反应性 0。&lt;kb doc="519a489734c454668ef4dfd39254a506.pdf" chunk_id="a91b7d00-ea2b-43b8-890a-fdce0f75fe02" kb_id="677e7f95-5530-4872-8412-55abbe459b7f" /&gt;&lt;kb doc="62f520fda5fbc19eea6837c8d010c7d4.pdf" chunk_id="56f8c111-8c5b-4799-b59a-2599e0d8d86b" kb_id="677e7f95-5530-4872-8412-55abbe459b7f" /&gt;
*   **HAC-8244D（参考HAC-8250）**：NFPA评级为健康 **0**、易燃性 0、反应性 0。&lt;kb doc="53963d672455f47913e818e554d3da43.pdf" chunk_id="2e5f99c8-223d-4eb5-8124-3b8c36ac350d" kb_id="677e7f95-5530-4872-8412-55abbe459b7f" /&gt;
*   **HFA系列（参考HFA 709 Z）**：NFPA评级未在摘要中明确给出，但其GHS分类显示具有严重健康危害。
#### GHS 安全分类与危险性说明
HFA 708F的GHS分类及危险性说明，可参考同系列产品HFA 709 Z和HFA 707的SDS信息：
*   **GHS 危险象形图**：根据其危害分类，应包含健康危害（感叹号或健康危害）和骷髅交叉骨等象形图。
*   **警示词**：**危险**。&lt;kb doc="b17e15af542f5fca44ee533530675006.pdf" chunk_id="819b6511-87ca-4660-bd3d-c9157b823ae2" kb_id="677e7f95-5530-4872-8412-55abbe459b7f" /&gt;
*   **主要危险性说明（H 代码）**：
    *   **H332**：吸入有害。&lt;kb doc="06115b6e0f49f029ff6f8f7448fc072d.pdf" chunk_id="1ff51f65-bca7-4817-9ed7-f0d2eed8f2e6" kb_id="677e7f95-5530-4872-8412-55abbe459b7f" /&gt;
    *   **H350**：可能致癌。&lt;kb doc="b17e15af542f5fca44ee533530675006.pdf" chunk_id="819b6511-87ca-4660-bd3d-c9157b823ae2" kb_id="677e7f95-5530-4872-8412-55abbe459b7f" /&gt;&lt;kb doc="a349579ebb63b5f978159c8ad80f28a1.pdf" chunk_id="a526c1eb-7cca-4181-8ddd-ed673fd093c5" kb_id="677e7f95-5530-4872-8412-55abbe459b7f" /&gt;
    *   **H360**：可能对生育能力或胎儿造成伤害。&lt;kb doc="b17e15af542f5fca44ee533530675006.pdf" chunk_id="819b6511-87ca-4660-bd3d-c9157b823ae2" kb_id="677e7f95-5530-4872-8412-55abbe459b7f" /&gt;&lt;kb doc="06115b6e0f49f029ff6f8f7448fc072d.pdf" chunk_id="1ff51f65-bca7-4817-9ed7-f0d2eed8f2e6" kb_id="677e7f95-5530-4872-8412-55abbe459b7f" /&gt;
    *   **H372**：长期或反复接触会对器官造成损害。&lt;kb doc="a349579ebb63b5f978159c8ad80f28a1.pdf" chunk_id="a526c1eb-7cca-4181-8ddd-ed673fd093c5" kb_id="677e7f95-5530-4872-8412-55abbe459b7f" /&gt;
    *   **H400/H410**：对水生生物毒性极大并具有长期持续影响。&lt;kb doc="06115b6e0f49f029ff6f8f7448fc072d.pdf" chunk_id="1ff51f65-bca7-4817-9ed7-f0d2eed8f2e6" kb_id="677e7f95-5530-4872-8412-55abbe459b7f" /&gt;
**总结**：ABS 750和HAC系列在GHS分类下不属于危险品，NFPA健康评级为0。而HFA系列阻燃产品由于添加了溴系阻燃剂和三氧化二锑，被归类为致癌物和特定靶器官毒物，其健康风险远高于前两者。</t>
        </is>
      </c>
      <c r="AL15" s="7" t="n"/>
      <c r="AM15" s="47" t="inlineStr">
        <is>
          <t>Agentic</t>
        </is>
      </c>
      <c r="AN15" s="7" t="inlineStr">
        <is>
          <t>A所有数据点（成分含量、阻燃助剂、GHS/NFPA、象形图、H代码）均与SDS原文精确对应，而B多处依赖同系列推断且象形图、H代码、NFPA等关键细节存在明显错误，准确性和完整性远不及A。</t>
        </is>
      </c>
      <c r="AO15" s="7" t="inlineStr">
        <is>
          <t>是</t>
        </is>
      </c>
    </row>
  </sheetData>
  <autoFilter ref="A3:AO15"/>
  <mergeCells count="1">
    <mergeCell ref="A1:A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95" customWidth="1" min="1" max="1"/>
    <col width="8" customWidth="1" min="2" max="2"/>
    <col width="8" customWidth="1" min="3" max="3"/>
    <col width="8" customWidth="1" min="4" max="4"/>
    <col width="10.15" customWidth="1" min="5" max="5"/>
    <col width="10.15" customWidth="1" min="6" max="6"/>
    <col width="10.15" customWidth="1" min="7" max="7"/>
    <col width="10.15" customWidth="1" min="8" max="8"/>
  </cols>
  <sheetData>
    <row r="1" ht="24" customHeight="1">
      <c r="A1" s="1" t="inlineStr">
        <is>
          <t>问答 / 评判失败（无）</t>
        </is>
      </c>
    </row>
    <row r="2"/>
    <row r="3" ht="22" customHeight="1">
      <c r="A3" s="3" t="inlineStr">
        <is>
          <t>ID</t>
        </is>
      </c>
      <c r="B3" s="3" t="inlineStr">
        <is>
          <t>跳数</t>
        </is>
      </c>
      <c r="C3" s="3" t="inlineStr">
        <is>
          <t>系统</t>
        </is>
      </c>
      <c r="D3" s="3" t="inlineStr">
        <is>
          <t>问题</t>
        </is>
      </c>
      <c r="E3" s="3" t="inlineStr">
        <is>
          <t>query状态</t>
        </is>
      </c>
      <c r="F3" s="3" t="inlineStr">
        <is>
          <t>query错误</t>
        </is>
      </c>
      <c r="G3" s="3" t="inlineStr">
        <is>
          <t>judge状态</t>
        </is>
      </c>
      <c r="H3" s="3" t="inlineStr">
        <is>
          <t>judge错误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2026-09-30T07:27:48Z</dcterms:created>
  <dcterms:modified xmlns:dcterms="http://purl.org/dc/terms/" xmlns:xsi="http://www.w3.org/2001/XMLSchema-instance" xsi:type="dcterms:W3CDTF">2026-09-30T07:27:48Z</dcterms:modified>
</cp:coreProperties>
</file>